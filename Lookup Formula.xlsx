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44\Desktop\Jyoti_Patel\Excel\Practical Task\"/>
    </mc:Choice>
  </mc:AlternateContent>
  <xr:revisionPtr revIDLastSave="0" documentId="13_ncr:1_{F62FE079-F19D-4CFE-8855-A5B28588E615}" xr6:coauthVersionLast="47" xr6:coauthVersionMax="47" xr10:uidLastSave="{00000000-0000-0000-0000-000000000000}"/>
  <bookViews>
    <workbookView xWindow="-120" yWindow="-120" windowWidth="29040" windowHeight="15720" activeTab="2" xr2:uid="{F555A40D-96E4-4DEB-BDDE-A606428E0F2E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3" l="1"/>
  <c r="C15" i="3"/>
  <c r="C14" i="3"/>
  <c r="C13" i="3"/>
  <c r="C12" i="3"/>
  <c r="C11" i="2"/>
  <c r="C10" i="2"/>
  <c r="E10" i="2" s="1"/>
  <c r="C17" i="1"/>
  <c r="C18" i="1"/>
  <c r="C16" i="1"/>
  <c r="C15" i="1"/>
  <c r="C14" i="1"/>
  <c r="C13" i="1"/>
</calcChain>
</file>

<file path=xl/sharedStrings.xml><?xml version="1.0" encoding="utf-8"?>
<sst xmlns="http://schemas.openxmlformats.org/spreadsheetml/2006/main" count="162" uniqueCount="57">
  <si>
    <t>Name</t>
  </si>
  <si>
    <t>Department</t>
  </si>
  <si>
    <t>Salary</t>
  </si>
  <si>
    <t>E101</t>
  </si>
  <si>
    <t>HR</t>
  </si>
  <si>
    <t>E102</t>
  </si>
  <si>
    <t>IT</t>
  </si>
  <si>
    <t>E103</t>
  </si>
  <si>
    <t>Finance</t>
  </si>
  <si>
    <t>E104</t>
  </si>
  <si>
    <t>E105</t>
  </si>
  <si>
    <t>Sales</t>
  </si>
  <si>
    <t>Sheet: Employee_Data</t>
  </si>
  <si>
    <t>EmployeeID</t>
  </si>
  <si>
    <t>Location</t>
  </si>
  <si>
    <t>JoiningYear</t>
  </si>
  <si>
    <t>Rahul Sharma</t>
  </si>
  <si>
    <t>Mumbai</t>
  </si>
  <si>
    <t>Ananya Gupta</t>
  </si>
  <si>
    <t>Delhi</t>
  </si>
  <si>
    <t>Rohit Verma</t>
  </si>
  <si>
    <t>Bangalore</t>
  </si>
  <si>
    <t>Neha Singh</t>
  </si>
  <si>
    <t>Pune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</si>
  <si>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</si>
  <si>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</si>
  <si>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</si>
  <si>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</si>
  <si>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</si>
  <si>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</si>
  <si>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</si>
  <si>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</si>
  <si>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</si>
  <si>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</si>
  <si>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VLOOKUP Tasks (1–6)</t>
  </si>
  <si>
    <r>
      <t>1. Find the </t>
    </r>
    <r>
      <rPr>
        <sz val="12"/>
        <color theme="1"/>
        <rFont val="Segoe UI"/>
        <family val="2"/>
      </rPr>
      <t>Name</t>
    </r>
    <r>
      <rPr>
        <sz val="12"/>
        <color theme="1"/>
        <rFont val="Segoe UI"/>
        <family val="2"/>
      </rPr>
      <t> of employee using </t>
    </r>
    <r>
      <rPr>
        <sz val="10"/>
        <color theme="1"/>
        <rFont val="Consolas"/>
        <family val="3"/>
      </rPr>
      <t>EmployeeID</t>
    </r>
    <r>
      <rPr>
        <sz val="12"/>
        <color theme="1"/>
        <rFont val="Segoe UI"/>
        <family val="2"/>
      </rPr>
      <t> from </t>
    </r>
    <r>
      <rPr>
        <sz val="10"/>
        <color theme="1"/>
        <rFont val="Consolas"/>
        <family val="3"/>
      </rPr>
      <t>Search_Input</t>
    </r>
    <r>
      <rPr>
        <sz val="12"/>
        <color theme="1"/>
        <rFont val="Segoe UI"/>
        <family val="2"/>
      </rPr>
      <t>.</t>
    </r>
  </si>
  <si>
    <r>
      <t>2. Find the </t>
    </r>
    <r>
      <rPr>
        <sz val="12"/>
        <color theme="1"/>
        <rFont val="Segoe UI"/>
        <family val="2"/>
      </rPr>
      <t>Department</t>
    </r>
    <r>
      <rPr>
        <sz val="12"/>
        <color theme="1"/>
        <rFont val="Segoe UI"/>
        <family val="2"/>
      </rPr>
      <t> of employee with ID </t>
    </r>
    <r>
      <rPr>
        <sz val="12"/>
        <color theme="1"/>
        <rFont val="Segoe UI"/>
        <family val="2"/>
      </rPr>
      <t>E103</t>
    </r>
    <r>
      <rPr>
        <sz val="12"/>
        <color theme="1"/>
        <rFont val="Segoe UI"/>
        <family val="2"/>
      </rPr>
      <t>.</t>
    </r>
  </si>
  <si>
    <r>
      <t>3. Find the </t>
    </r>
    <r>
      <rPr>
        <sz val="12"/>
        <color theme="1"/>
        <rFont val="Segoe UI"/>
        <family val="2"/>
      </rPr>
      <t>Salary</t>
    </r>
    <r>
      <rPr>
        <sz val="12"/>
        <color theme="1"/>
        <rFont val="Segoe UI"/>
        <family val="2"/>
      </rPr>
      <t> of employee </t>
    </r>
    <r>
      <rPr>
        <sz val="12"/>
        <color theme="1"/>
        <rFont val="Segoe UI"/>
        <family val="2"/>
      </rPr>
      <t>Neha Singh</t>
    </r>
    <r>
      <rPr>
        <sz val="12"/>
        <color theme="1"/>
        <rFont val="Segoe UI"/>
        <family val="2"/>
      </rPr>
      <t> using VLOOKUP.</t>
    </r>
  </si>
  <si>
    <r>
      <t>4. Get the </t>
    </r>
    <r>
      <rPr>
        <sz val="12"/>
        <color theme="1"/>
        <rFont val="Segoe UI"/>
        <family val="2"/>
      </rPr>
      <t>Location</t>
    </r>
    <r>
      <rPr>
        <sz val="12"/>
        <color theme="1"/>
        <rFont val="Segoe UI"/>
        <family val="2"/>
      </rPr>
      <t> of employee </t>
    </r>
    <r>
      <rPr>
        <sz val="12"/>
        <color theme="1"/>
        <rFont val="Segoe UI"/>
        <family val="2"/>
      </rPr>
      <t>E107</t>
    </r>
    <r>
      <rPr>
        <sz val="12"/>
        <color theme="1"/>
        <rFont val="Segoe UI"/>
        <family val="2"/>
      </rPr>
      <t>.</t>
    </r>
  </si>
  <si>
    <r>
      <t>5. If </t>
    </r>
    <r>
      <rPr>
        <sz val="10"/>
        <color theme="1"/>
        <rFont val="Consolas"/>
        <family val="3"/>
      </rPr>
      <t>EmployeeID</t>
    </r>
    <r>
      <rPr>
        <sz val="12"/>
        <color theme="1"/>
        <rFont val="Segoe UI"/>
        <family val="2"/>
      </rPr>
      <t> is not found, display </t>
    </r>
    <r>
      <rPr>
        <sz val="12"/>
        <color theme="1"/>
        <rFont val="Segoe UI"/>
        <family val="2"/>
      </rPr>
      <t>"Not Found"</t>
    </r>
    <r>
      <rPr>
        <sz val="12"/>
        <color theme="1"/>
        <rFont val="Segoe UI"/>
        <family val="2"/>
      </rPr>
      <t>.</t>
    </r>
  </si>
  <si>
    <r>
      <t>6. Find the </t>
    </r>
    <r>
      <rPr>
        <sz val="12"/>
        <color theme="1"/>
        <rFont val="Segoe UI"/>
        <family val="2"/>
      </rPr>
      <t>JoiningYear</t>
    </r>
    <r>
      <rPr>
        <sz val="12"/>
        <color theme="1"/>
        <rFont val="Segoe UI"/>
        <family val="2"/>
      </rPr>
      <t> of employee </t>
    </r>
    <r>
      <rPr>
        <sz val="12"/>
        <color theme="1"/>
        <rFont val="Segoe UI"/>
        <family val="2"/>
      </rPr>
      <t>E101</t>
    </r>
    <r>
      <rPr>
        <sz val="12"/>
        <color theme="1"/>
        <rFont val="Segoe UI"/>
        <family val="2"/>
      </rPr>
      <t>.</t>
    </r>
  </si>
  <si>
    <t>E109</t>
  </si>
  <si>
    <t>Bonus %</t>
  </si>
  <si>
    <t>(Bonus Amount = Salary × Bonus %).</t>
  </si>
  <si>
    <r>
      <t>7. Find the </t>
    </r>
    <r>
      <rPr>
        <sz val="12"/>
        <color theme="1"/>
        <rFont val="Segoe UI"/>
        <family val="2"/>
      </rPr>
      <t>Bonus %</t>
    </r>
    <r>
      <rPr>
        <sz val="12"/>
        <color theme="1"/>
        <rFont val="Segoe UI"/>
        <family val="2"/>
      </rPr>
      <t> for </t>
    </r>
    <r>
      <rPr>
        <sz val="12"/>
        <color theme="1"/>
        <rFont val="Segoe UI"/>
        <family val="2"/>
      </rPr>
      <t>IT</t>
    </r>
    <r>
      <rPr>
        <sz val="12"/>
        <color theme="1"/>
        <rFont val="Segoe UI"/>
        <family val="2"/>
      </rPr>
      <t> department.</t>
    </r>
  </si>
  <si>
    <r>
      <t>8. Find the </t>
    </r>
    <r>
      <rPr>
        <sz val="12"/>
        <color theme="1"/>
        <rFont val="Segoe UI"/>
        <family val="2"/>
      </rPr>
      <t>Bonus %</t>
    </r>
    <r>
      <rPr>
        <sz val="12"/>
        <color theme="1"/>
        <rFont val="Segoe UI"/>
        <family val="2"/>
      </rPr>
      <t> for </t>
    </r>
    <r>
      <rPr>
        <sz val="12"/>
        <color theme="1"/>
        <rFont val="Segoe UI"/>
        <family val="2"/>
      </rPr>
      <t>Finance</t>
    </r>
    <r>
      <rPr>
        <sz val="12"/>
        <color theme="1"/>
        <rFont val="Segoe UI"/>
        <family val="2"/>
      </rPr>
      <t> department.</t>
    </r>
  </si>
  <si>
    <r>
      <t>9. Calculate </t>
    </r>
    <r>
      <rPr>
        <sz val="12"/>
        <color theme="1"/>
        <rFont val="Segoe UI"/>
        <family val="2"/>
      </rPr>
      <t>Bonus Amount</t>
    </r>
    <r>
      <rPr>
        <sz val="12"/>
        <color theme="1"/>
        <rFont val="Segoe UI"/>
        <family val="2"/>
      </rPr>
      <t> for employee </t>
    </r>
    <r>
      <rPr>
        <sz val="12"/>
        <color theme="1"/>
        <rFont val="Segoe UI"/>
        <family val="2"/>
      </rPr>
      <t>E104</t>
    </r>
  </si>
  <si>
    <r>
      <t>10. If department is invalid, display </t>
    </r>
    <r>
      <rPr>
        <sz val="12"/>
        <color theme="1"/>
        <rFont val="Segoe UI"/>
        <family val="2"/>
      </rPr>
      <t>"No Bonus Data"</t>
    </r>
    <r>
      <rPr>
        <sz val="12"/>
        <color theme="1"/>
        <rFont val="Segoe UI"/>
        <family val="2"/>
      </rPr>
      <t>.</t>
    </r>
  </si>
  <si>
    <t>Bonus Amount</t>
  </si>
  <si>
    <t>7 &amp; 8 &amp; 9</t>
  </si>
  <si>
    <r>
      <t>11. Find </t>
    </r>
    <r>
      <rPr>
        <sz val="12"/>
        <color theme="1"/>
        <rFont val="Segoe UI"/>
        <family val="2"/>
      </rPr>
      <t>Salary</t>
    </r>
    <r>
      <rPr>
        <sz val="12"/>
        <color theme="1"/>
        <rFont val="Segoe UI"/>
        <family val="2"/>
      </rPr>
      <t> using </t>
    </r>
    <r>
      <rPr>
        <sz val="10"/>
        <color theme="1"/>
        <rFont val="Consolas"/>
        <family val="3"/>
      </rPr>
      <t>EmployeeID</t>
    </r>
    <r>
      <rPr>
        <sz val="12"/>
        <color theme="1"/>
        <rFont val="Segoe UI"/>
        <family val="2"/>
      </rPr>
      <t>.</t>
    </r>
  </si>
  <si>
    <r>
      <t>12. Find </t>
    </r>
    <r>
      <rPr>
        <sz val="12"/>
        <color theme="1"/>
        <rFont val="Segoe UI"/>
        <family val="2"/>
      </rPr>
      <t>Department</t>
    </r>
    <r>
      <rPr>
        <sz val="12"/>
        <color theme="1"/>
        <rFont val="Segoe UI"/>
        <family val="2"/>
      </rPr>
      <t> using </t>
    </r>
    <r>
      <rPr>
        <sz val="12"/>
        <color theme="1"/>
        <rFont val="Segoe UI"/>
        <family val="2"/>
      </rPr>
      <t>Employee Name</t>
    </r>
    <r>
      <rPr>
        <sz val="12"/>
        <color theme="1"/>
        <rFont val="Segoe UI"/>
        <family val="2"/>
      </rPr>
      <t>.</t>
    </r>
  </si>
  <si>
    <r>
      <t>13. Fetch </t>
    </r>
    <r>
      <rPr>
        <sz val="12"/>
        <color theme="1"/>
        <rFont val="Segoe UI"/>
        <family val="2"/>
      </rPr>
      <t>Location</t>
    </r>
    <r>
      <rPr>
        <sz val="12"/>
        <color theme="1"/>
        <rFont val="Segoe UI"/>
        <family val="2"/>
      </rPr>
      <t> of employee </t>
    </r>
    <r>
      <rPr>
        <sz val="12"/>
        <color theme="1"/>
        <rFont val="Segoe UI"/>
        <family val="2"/>
      </rPr>
      <t>Rohit Verma</t>
    </r>
    <r>
      <rPr>
        <sz val="12"/>
        <color theme="1"/>
        <rFont val="Segoe UI"/>
        <family val="2"/>
      </rPr>
      <t>.</t>
    </r>
  </si>
  <si>
    <r>
      <t>14. If </t>
    </r>
    <r>
      <rPr>
        <sz val="10"/>
        <color theme="1"/>
        <rFont val="Consolas"/>
        <family val="3"/>
      </rPr>
      <t>EmployeeID = E999</t>
    </r>
    <r>
      <rPr>
        <sz val="12"/>
        <color theme="1"/>
        <rFont val="Segoe UI"/>
        <family val="2"/>
      </rPr>
      <t>, return </t>
    </r>
    <r>
      <rPr>
        <sz val="12"/>
        <color theme="1"/>
        <rFont val="Segoe UI"/>
        <family val="2"/>
      </rPr>
      <t>"Employee Not Found"</t>
    </r>
    <r>
      <rPr>
        <sz val="12"/>
        <color theme="1"/>
        <rFont val="Segoe UI"/>
        <family val="2"/>
      </rPr>
      <t>.</t>
    </r>
  </si>
  <si>
    <r>
      <t>15. Find </t>
    </r>
    <r>
      <rPr>
        <sz val="12"/>
        <color theme="1"/>
        <rFont val="Segoe UI"/>
        <family val="2"/>
      </rPr>
      <t>Bonus %</t>
    </r>
    <r>
      <rPr>
        <sz val="12"/>
        <color theme="1"/>
        <rFont val="Segoe UI"/>
        <family val="2"/>
      </rPr>
      <t> using XLOOKUP from </t>
    </r>
    <r>
      <rPr>
        <sz val="10"/>
        <color theme="1"/>
        <rFont val="Consolas"/>
        <family val="3"/>
      </rPr>
      <t>Department_Bonus</t>
    </r>
    <r>
      <rPr>
        <sz val="12"/>
        <color theme="1"/>
        <rFont val="Segoe UI"/>
        <family val="2"/>
      </rPr>
      <t> (horizontal lookup).</t>
    </r>
  </si>
  <si>
    <t>Rahul sharma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</si>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</sst>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.5"/>
      <color theme="1"/>
      <name val="Segoe UI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/>
      <right/>
      <top/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 indent="1"/>
    </xf>
    <xf numFmtId="0" fontId="2" fillId="0" borderId="0" xfId="0" applyFont="1" applyAlignment="1">
      <alignment vertical="center"/>
    </xf>
    <xf numFmtId="0" fontId="0" fillId="0" borderId="0" xfId="0" applyFont="1"/>
    <xf numFmtId="0" fontId="3" fillId="0" borderId="0" xfId="0" applyFont="1" applyAlignment="1">
      <alignment horizontal="left" vertical="center"/>
    </xf>
    <xf numFmtId="0" fontId="0" fillId="0" borderId="3" xfId="0" applyBorder="1"/>
    <xf numFmtId="0" fontId="0" fillId="2" borderId="3" xfId="0" applyFill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9" fontId="3" fillId="2" borderId="1" xfId="0" applyNumberFormat="1" applyFont="1" applyFill="1" applyBorder="1" applyAlignment="1">
      <alignment horizontal="right" vertical="center" wrapText="1" indent="1"/>
    </xf>
    <xf numFmtId="9" fontId="0" fillId="0" borderId="0" xfId="0" applyNumberForma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right" vertical="center" wrapText="1" inden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FBA4-DBDA-4E81-86F0-75907F09CCC8}">
  <dimension ref="A1:Q18"/>
  <sheetViews>
    <sheetView workbookViewId="0">
      <selection activeCell="F20" sqref="F20"/>
    </sheetView>
  </sheetViews>
  <sheetFormatPr defaultRowHeight="15" x14ac:dyDescent="0.25"/>
  <cols>
    <col min="1" max="1" width="15.7109375" customWidth="1"/>
    <col min="2" max="2" width="13.7109375" bestFit="1" customWidth="1"/>
    <col min="3" max="3" width="14.140625" customWidth="1"/>
    <col min="4" max="4" width="7.28515625" bestFit="1" customWidth="1"/>
    <col min="5" max="5" width="11.7109375" bestFit="1" customWidth="1"/>
    <col min="6" max="6" width="15.5703125" customWidth="1"/>
  </cols>
  <sheetData>
    <row r="1" spans="1:17" ht="45" customHeight="1" thickBot="1" x14ac:dyDescent="0.3">
      <c r="A1" s="3" t="s">
        <v>12</v>
      </c>
      <c r="B1" s="3"/>
      <c r="C1" s="3"/>
      <c r="D1" s="3"/>
      <c r="E1" s="3"/>
      <c r="F1" s="3"/>
    </row>
    <row r="2" spans="1:17" ht="30.75" thickBot="1" x14ac:dyDescent="0.3">
      <c r="A2" s="4" t="s">
        <v>13</v>
      </c>
      <c r="B2" s="5" t="s">
        <v>0</v>
      </c>
      <c r="C2" s="5" t="s">
        <v>1</v>
      </c>
      <c r="D2" s="5" t="s">
        <v>14</v>
      </c>
      <c r="E2" s="4" t="s">
        <v>2</v>
      </c>
      <c r="F2" s="4" t="s">
        <v>15</v>
      </c>
      <c r="L2" s="7" t="s">
        <v>34</v>
      </c>
      <c r="M2" s="8"/>
      <c r="N2" s="8"/>
      <c r="O2" s="8"/>
      <c r="P2" s="8"/>
      <c r="Q2" s="8"/>
    </row>
    <row r="3" spans="1:17" ht="30.75" thickBot="1" x14ac:dyDescent="0.3">
      <c r="A3" s="6" t="s">
        <v>3</v>
      </c>
      <c r="B3" s="1" t="s">
        <v>16</v>
      </c>
      <c r="C3" s="1" t="s">
        <v>11</v>
      </c>
      <c r="D3" s="1" t="s">
        <v>17</v>
      </c>
      <c r="E3" s="6">
        <v>45000</v>
      </c>
      <c r="F3" s="6">
        <v>2019</v>
      </c>
      <c r="L3" s="9" t="s">
        <v>35</v>
      </c>
      <c r="M3" s="8"/>
      <c r="N3" s="8"/>
      <c r="O3" s="8"/>
      <c r="P3" s="8"/>
      <c r="Q3" s="8"/>
    </row>
    <row r="4" spans="1:17" ht="30.75" thickBot="1" x14ac:dyDescent="0.3">
      <c r="A4" s="6" t="s">
        <v>5</v>
      </c>
      <c r="B4" s="1" t="s">
        <v>18</v>
      </c>
      <c r="C4" s="1" t="s">
        <v>4</v>
      </c>
      <c r="D4" s="1" t="s">
        <v>19</v>
      </c>
      <c r="E4" s="6">
        <v>52000</v>
      </c>
      <c r="F4" s="6">
        <v>2018</v>
      </c>
      <c r="L4" s="9" t="s">
        <v>36</v>
      </c>
      <c r="M4" s="8"/>
      <c r="N4" s="8"/>
      <c r="O4" s="8"/>
      <c r="P4" s="8"/>
      <c r="Q4" s="8"/>
    </row>
    <row r="5" spans="1:17" ht="30.75" thickBot="1" x14ac:dyDescent="0.3">
      <c r="A5" s="6" t="s">
        <v>7</v>
      </c>
      <c r="B5" s="1" t="s">
        <v>20</v>
      </c>
      <c r="C5" s="1" t="s">
        <v>6</v>
      </c>
      <c r="D5" s="1" t="s">
        <v>21</v>
      </c>
      <c r="E5" s="6">
        <v>65000</v>
      </c>
      <c r="F5" s="6">
        <v>2020</v>
      </c>
      <c r="L5" s="9" t="s">
        <v>37</v>
      </c>
      <c r="M5" s="8"/>
      <c r="N5" s="8"/>
      <c r="O5" s="8"/>
      <c r="P5" s="8"/>
      <c r="Q5" s="8"/>
    </row>
    <row r="6" spans="1:17" ht="18" thickBot="1" x14ac:dyDescent="0.3">
      <c r="A6" s="6" t="s">
        <v>9</v>
      </c>
      <c r="B6" s="1" t="s">
        <v>22</v>
      </c>
      <c r="C6" s="1" t="s">
        <v>8</v>
      </c>
      <c r="D6" s="1" t="s">
        <v>23</v>
      </c>
      <c r="E6" s="6">
        <v>58000</v>
      </c>
      <c r="F6" s="6">
        <v>2017</v>
      </c>
      <c r="L6" s="9" t="s">
        <v>38</v>
      </c>
      <c r="M6" s="8"/>
      <c r="N6" s="8"/>
      <c r="O6" s="8"/>
      <c r="P6" s="8"/>
      <c r="Q6" s="8"/>
    </row>
    <row r="7" spans="1:17" ht="30.75" thickBot="1" x14ac:dyDescent="0.3">
      <c r="A7" s="6" t="s">
        <v>10</v>
      </c>
      <c r="B7" s="1" t="s">
        <v>24</v>
      </c>
      <c r="C7" s="1" t="s">
        <v>25</v>
      </c>
      <c r="D7" s="1" t="s">
        <v>17</v>
      </c>
      <c r="E7" s="6">
        <v>48000</v>
      </c>
      <c r="F7" s="6">
        <v>2021</v>
      </c>
      <c r="L7" s="9" t="s">
        <v>39</v>
      </c>
      <c r="M7" s="8"/>
      <c r="N7" s="8"/>
      <c r="O7" s="8"/>
      <c r="P7" s="8"/>
      <c r="Q7" s="8"/>
    </row>
    <row r="8" spans="1:17" ht="30.75" thickBot="1" x14ac:dyDescent="0.3">
      <c r="A8" s="6" t="s">
        <v>26</v>
      </c>
      <c r="B8" s="1" t="s">
        <v>27</v>
      </c>
      <c r="C8" s="1" t="s">
        <v>6</v>
      </c>
      <c r="D8" s="1" t="s">
        <v>28</v>
      </c>
      <c r="E8" s="6">
        <v>62000</v>
      </c>
      <c r="F8" s="6">
        <v>2019</v>
      </c>
      <c r="L8" s="9" t="s">
        <v>40</v>
      </c>
      <c r="M8" s="8"/>
      <c r="N8" s="8"/>
      <c r="O8" s="8"/>
      <c r="P8" s="8"/>
      <c r="Q8" s="8"/>
    </row>
    <row r="9" spans="1:17" ht="30.75" thickBot="1" x14ac:dyDescent="0.3">
      <c r="A9" s="6" t="s">
        <v>29</v>
      </c>
      <c r="B9" s="1" t="s">
        <v>30</v>
      </c>
      <c r="C9" s="1" t="s">
        <v>11</v>
      </c>
      <c r="D9" s="1" t="s">
        <v>31</v>
      </c>
      <c r="E9" s="6">
        <v>47000</v>
      </c>
      <c r="F9" s="6">
        <v>2020</v>
      </c>
    </row>
    <row r="10" spans="1:17" ht="30.75" thickBot="1" x14ac:dyDescent="0.3">
      <c r="A10" s="6" t="s">
        <v>32</v>
      </c>
      <c r="B10" s="1" t="s">
        <v>33</v>
      </c>
      <c r="C10" s="1" t="s">
        <v>4</v>
      </c>
      <c r="D10" s="1" t="s">
        <v>21</v>
      </c>
      <c r="E10" s="6">
        <v>54000</v>
      </c>
      <c r="F10" s="6">
        <v>2016</v>
      </c>
    </row>
    <row r="13" spans="1:17" x14ac:dyDescent="0.25">
      <c r="A13" s="10">
        <v>1</v>
      </c>
      <c r="B13" s="11" t="s">
        <v>3</v>
      </c>
      <c r="C13" s="10" t="str">
        <f>VLOOKUP(B13,A2:F10,2,0)</f>
        <v>Rahul Sharma</v>
      </c>
      <c r="D13" s="10"/>
    </row>
    <row r="14" spans="1:17" x14ac:dyDescent="0.25">
      <c r="A14" s="10">
        <v>2</v>
      </c>
      <c r="B14" s="11" t="s">
        <v>7</v>
      </c>
      <c r="C14" s="10" t="str">
        <f>VLOOKUP(B14,A2:C10,3,0)</f>
        <v>IT</v>
      </c>
      <c r="D14" s="10"/>
    </row>
    <row r="15" spans="1:17" x14ac:dyDescent="0.25">
      <c r="A15" s="10">
        <v>3</v>
      </c>
      <c r="B15" s="11" t="s">
        <v>22</v>
      </c>
      <c r="C15" s="10">
        <f>VLOOKUP(B15,B2:E10,4,0)</f>
        <v>58000</v>
      </c>
      <c r="D15" s="10"/>
    </row>
    <row r="16" spans="1:17" x14ac:dyDescent="0.25">
      <c r="A16" s="10">
        <v>4</v>
      </c>
      <c r="B16" s="11" t="s">
        <v>29</v>
      </c>
      <c r="C16" s="10" t="str">
        <f>VLOOKUP(B16,A2:D10,4,0)</f>
        <v>Hyderabad</v>
      </c>
      <c r="D16" s="10"/>
    </row>
    <row r="17" spans="1:4" x14ac:dyDescent="0.25">
      <c r="A17" s="10">
        <v>5</v>
      </c>
      <c r="B17" s="11" t="s">
        <v>41</v>
      </c>
      <c r="C17" s="10" t="str">
        <f>IFERROR(VLOOKUP(B17,A2:F10,2,0),"Not Found")</f>
        <v>Not Found</v>
      </c>
      <c r="D17" s="10"/>
    </row>
    <row r="18" spans="1:4" x14ac:dyDescent="0.25">
      <c r="A18" s="10">
        <v>6</v>
      </c>
      <c r="B18" s="11" t="s">
        <v>3</v>
      </c>
      <c r="C18" s="10">
        <f>VLOOKUP(B18,A2:F10,6,0)</f>
        <v>2019</v>
      </c>
      <c r="D18" s="10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2D28-1502-4D2D-9A35-AE4C8A60D907}">
  <dimension ref="A1:S17"/>
  <sheetViews>
    <sheetView workbookViewId="0">
      <selection sqref="A1:F2"/>
    </sheetView>
  </sheetViews>
  <sheetFormatPr defaultRowHeight="15" x14ac:dyDescent="0.25"/>
  <sheetData>
    <row r="1" spans="1:19" ht="35.25" thickBot="1" x14ac:dyDescent="0.3">
      <c r="A1" s="13" t="s">
        <v>1</v>
      </c>
      <c r="B1" s="14" t="s">
        <v>11</v>
      </c>
      <c r="C1" s="14" t="s">
        <v>4</v>
      </c>
      <c r="D1" s="14" t="s">
        <v>6</v>
      </c>
      <c r="E1" s="14" t="s">
        <v>8</v>
      </c>
      <c r="F1" s="14" t="s">
        <v>25</v>
      </c>
    </row>
    <row r="2" spans="1:19" ht="35.25" thickBot="1" x14ac:dyDescent="0.3">
      <c r="A2" s="15" t="s">
        <v>42</v>
      </c>
      <c r="B2" s="16">
        <v>0.1</v>
      </c>
      <c r="C2" s="16">
        <v>0.08</v>
      </c>
      <c r="D2" s="16">
        <v>0.12</v>
      </c>
      <c r="E2" s="16">
        <v>0.15</v>
      </c>
      <c r="F2" s="16">
        <v>0.09</v>
      </c>
      <c r="N2" s="12" t="s">
        <v>44</v>
      </c>
      <c r="O2" s="8"/>
      <c r="P2" s="8"/>
      <c r="Q2" s="8"/>
      <c r="R2" s="8"/>
      <c r="S2" s="8"/>
    </row>
    <row r="3" spans="1:19" ht="17.25" x14ac:dyDescent="0.25">
      <c r="N3" s="12" t="s">
        <v>45</v>
      </c>
      <c r="O3" s="8"/>
      <c r="P3" s="8"/>
      <c r="Q3" s="8"/>
      <c r="R3" s="8"/>
      <c r="S3" s="8"/>
    </row>
    <row r="4" spans="1:19" ht="17.25" x14ac:dyDescent="0.25">
      <c r="N4" s="12" t="s">
        <v>46</v>
      </c>
      <c r="O4" s="8"/>
      <c r="P4" s="8"/>
      <c r="Q4" s="8"/>
      <c r="R4" s="8"/>
      <c r="S4" s="8"/>
    </row>
    <row r="5" spans="1:19" ht="17.25" x14ac:dyDescent="0.25">
      <c r="N5" s="12" t="s">
        <v>43</v>
      </c>
      <c r="O5" s="8"/>
      <c r="P5" s="8"/>
      <c r="Q5" s="8"/>
      <c r="R5" s="8"/>
      <c r="S5" s="8"/>
    </row>
    <row r="6" spans="1:19" ht="17.25" x14ac:dyDescent="0.25">
      <c r="N6" s="12" t="s">
        <v>47</v>
      </c>
      <c r="O6" s="8"/>
      <c r="P6" s="8"/>
      <c r="Q6" s="8"/>
      <c r="R6" s="8"/>
      <c r="S6" s="8"/>
    </row>
    <row r="8" spans="1:19" ht="15.75" thickBot="1" x14ac:dyDescent="0.3"/>
    <row r="9" spans="1:19" ht="30.75" thickBot="1" x14ac:dyDescent="0.3">
      <c r="D9" t="s">
        <v>2</v>
      </c>
      <c r="E9" s="18" t="s">
        <v>48</v>
      </c>
      <c r="N9" s="4" t="s">
        <v>13</v>
      </c>
      <c r="O9" s="5" t="s">
        <v>0</v>
      </c>
      <c r="P9" s="5" t="s">
        <v>1</v>
      </c>
      <c r="Q9" s="5" t="s">
        <v>14</v>
      </c>
      <c r="R9" s="4" t="s">
        <v>2</v>
      </c>
      <c r="S9" s="4" t="s">
        <v>15</v>
      </c>
    </row>
    <row r="10" spans="1:19" ht="30.75" thickBot="1" x14ac:dyDescent="0.3">
      <c r="A10" t="s">
        <v>49</v>
      </c>
      <c r="B10" t="s">
        <v>6</v>
      </c>
      <c r="C10" s="17">
        <f>HLOOKUP(B10,A1:F2,2,0)</f>
        <v>0.12</v>
      </c>
      <c r="D10">
        <v>58000</v>
      </c>
      <c r="E10">
        <f>D10*C10</f>
        <v>6960</v>
      </c>
      <c r="N10" s="6" t="s">
        <v>3</v>
      </c>
      <c r="O10" s="1" t="s">
        <v>16</v>
      </c>
      <c r="P10" s="1" t="s">
        <v>11</v>
      </c>
      <c r="Q10" s="1" t="s">
        <v>17</v>
      </c>
      <c r="R10" s="6">
        <v>45000</v>
      </c>
      <c r="S10" s="6">
        <v>2019</v>
      </c>
    </row>
    <row r="11" spans="1:19" ht="30.75" thickBot="1" x14ac:dyDescent="0.3">
      <c r="A11" s="2">
        <v>10</v>
      </c>
      <c r="B11" t="s">
        <v>8</v>
      </c>
      <c r="C11" s="17">
        <f>IFERROR(HLOOKUP(B11,A1:F2,2,0),"No Bonus Data")</f>
        <v>0.15</v>
      </c>
      <c r="N11" s="6" t="s">
        <v>5</v>
      </c>
      <c r="O11" s="1" t="s">
        <v>18</v>
      </c>
      <c r="P11" s="1" t="s">
        <v>4</v>
      </c>
      <c r="Q11" s="1" t="s">
        <v>19</v>
      </c>
      <c r="R11" s="6">
        <v>52000</v>
      </c>
      <c r="S11" s="6">
        <v>2018</v>
      </c>
    </row>
    <row r="12" spans="1:19" ht="30.75" thickBot="1" x14ac:dyDescent="0.3">
      <c r="N12" s="6" t="s">
        <v>7</v>
      </c>
      <c r="O12" s="1" t="s">
        <v>20</v>
      </c>
      <c r="P12" s="1" t="s">
        <v>6</v>
      </c>
      <c r="Q12" s="1" t="s">
        <v>21</v>
      </c>
      <c r="R12" s="6">
        <v>65000</v>
      </c>
      <c r="S12" s="6">
        <v>2020</v>
      </c>
    </row>
    <row r="13" spans="1:19" ht="30.75" thickBot="1" x14ac:dyDescent="0.3">
      <c r="N13" s="6" t="s">
        <v>9</v>
      </c>
      <c r="O13" s="1" t="s">
        <v>22</v>
      </c>
      <c r="P13" s="1" t="s">
        <v>8</v>
      </c>
      <c r="Q13" s="1" t="s">
        <v>23</v>
      </c>
      <c r="R13" s="6">
        <v>58000</v>
      </c>
      <c r="S13" s="6">
        <v>2017</v>
      </c>
    </row>
    <row r="14" spans="1:19" ht="30.75" thickBot="1" x14ac:dyDescent="0.3">
      <c r="N14" s="6" t="s">
        <v>10</v>
      </c>
      <c r="O14" s="1" t="s">
        <v>24</v>
      </c>
      <c r="P14" s="1" t="s">
        <v>25</v>
      </c>
      <c r="Q14" s="1" t="s">
        <v>17</v>
      </c>
      <c r="R14" s="6">
        <v>48000</v>
      </c>
      <c r="S14" s="6">
        <v>2021</v>
      </c>
    </row>
    <row r="15" spans="1:19" ht="30.75" thickBot="1" x14ac:dyDescent="0.3">
      <c r="N15" s="6" t="s">
        <v>26</v>
      </c>
      <c r="O15" s="1" t="s">
        <v>27</v>
      </c>
      <c r="P15" s="1" t="s">
        <v>6</v>
      </c>
      <c r="Q15" s="1" t="s">
        <v>28</v>
      </c>
      <c r="R15" s="6">
        <v>62000</v>
      </c>
      <c r="S15" s="6">
        <v>2019</v>
      </c>
    </row>
    <row r="16" spans="1:19" ht="30.75" thickBot="1" x14ac:dyDescent="0.3">
      <c r="N16" s="6" t="s">
        <v>29</v>
      </c>
      <c r="O16" s="1" t="s">
        <v>30</v>
      </c>
      <c r="P16" s="1" t="s">
        <v>11</v>
      </c>
      <c r="Q16" s="1" t="s">
        <v>31</v>
      </c>
      <c r="R16" s="6">
        <v>47000</v>
      </c>
      <c r="S16" s="6">
        <v>2020</v>
      </c>
    </row>
    <row r="17" spans="14:19" ht="30.75" thickBot="1" x14ac:dyDescent="0.3">
      <c r="N17" s="6" t="s">
        <v>32</v>
      </c>
      <c r="O17" s="1" t="s">
        <v>33</v>
      </c>
      <c r="P17" s="1" t="s">
        <v>4</v>
      </c>
      <c r="Q17" s="1" t="s">
        <v>21</v>
      </c>
      <c r="R17" s="6">
        <v>54000</v>
      </c>
      <c r="S17" s="6">
        <v>2016</v>
      </c>
    </row>
  </sheetData>
  <dataValidations count="1">
    <dataValidation type="list" allowBlank="1" showInputMessage="1" showErrorMessage="1" sqref="B10 B11" xr:uid="{6FD0028E-3B3D-4B9C-89B5-4273CAC203AE}">
      <formula1>$A$1:$F$1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A764-2DB7-407B-B2E6-89041267CC60}">
  <dimension ref="A1:S16"/>
  <sheetViews>
    <sheetView tabSelected="1" workbookViewId="0">
      <selection activeCell="T12" sqref="T12"/>
    </sheetView>
  </sheetViews>
  <sheetFormatPr defaultRowHeight="15" x14ac:dyDescent="0.25"/>
  <cols>
    <col min="1" max="1" width="11.5703125" customWidth="1"/>
    <col min="2" max="2" width="13.5703125" customWidth="1"/>
    <col min="3" max="3" width="14.42578125" customWidth="1"/>
  </cols>
  <sheetData>
    <row r="1" spans="1:19" ht="52.5" thickBot="1" x14ac:dyDescent="0.3">
      <c r="A1" s="14" t="s">
        <v>13</v>
      </c>
      <c r="B1" s="13" t="s">
        <v>0</v>
      </c>
      <c r="C1" s="13" t="s">
        <v>1</v>
      </c>
      <c r="D1" s="13" t="s">
        <v>14</v>
      </c>
      <c r="E1" s="14" t="s">
        <v>2</v>
      </c>
      <c r="F1" s="14" t="s">
        <v>15</v>
      </c>
    </row>
    <row r="2" spans="1:19" ht="35.25" thickBot="1" x14ac:dyDescent="0.3">
      <c r="A2" s="19" t="s">
        <v>3</v>
      </c>
      <c r="B2" s="15" t="s">
        <v>16</v>
      </c>
      <c r="C2" s="15" t="s">
        <v>11</v>
      </c>
      <c r="D2" s="15" t="s">
        <v>17</v>
      </c>
      <c r="E2" s="19">
        <v>45000</v>
      </c>
      <c r="F2" s="19">
        <v>2019</v>
      </c>
      <c r="K2" s="12" t="s">
        <v>50</v>
      </c>
      <c r="L2" s="8"/>
      <c r="M2" s="8"/>
      <c r="N2" s="8"/>
      <c r="O2" s="8"/>
      <c r="P2" s="8"/>
      <c r="Q2" s="8"/>
      <c r="R2" s="8"/>
      <c r="S2" s="8"/>
    </row>
    <row r="3" spans="1:19" ht="35.25" thickBot="1" x14ac:dyDescent="0.3">
      <c r="A3" s="19" t="s">
        <v>5</v>
      </c>
      <c r="B3" s="15" t="s">
        <v>18</v>
      </c>
      <c r="C3" s="15" t="s">
        <v>4</v>
      </c>
      <c r="D3" s="15" t="s">
        <v>19</v>
      </c>
      <c r="E3" s="19">
        <v>52000</v>
      </c>
      <c r="F3" s="19">
        <v>2018</v>
      </c>
      <c r="K3" s="12" t="s">
        <v>51</v>
      </c>
      <c r="L3" s="8"/>
      <c r="M3" s="8"/>
      <c r="N3" s="8"/>
      <c r="O3" s="8"/>
      <c r="P3" s="8"/>
      <c r="Q3" s="8"/>
      <c r="R3" s="8"/>
      <c r="S3" s="8"/>
    </row>
    <row r="4" spans="1:19" ht="35.25" thickBot="1" x14ac:dyDescent="0.3">
      <c r="A4" s="19" t="s">
        <v>7</v>
      </c>
      <c r="B4" s="15" t="s">
        <v>20</v>
      </c>
      <c r="C4" s="15" t="s">
        <v>6</v>
      </c>
      <c r="D4" s="15" t="s">
        <v>21</v>
      </c>
      <c r="E4" s="19">
        <v>65000</v>
      </c>
      <c r="F4" s="19">
        <v>2020</v>
      </c>
      <c r="K4" s="12" t="s">
        <v>52</v>
      </c>
      <c r="L4" s="8"/>
      <c r="M4" s="8"/>
      <c r="N4" s="8"/>
      <c r="O4" s="8"/>
      <c r="P4" s="8"/>
      <c r="Q4" s="8"/>
      <c r="R4" s="8"/>
      <c r="S4" s="8"/>
    </row>
    <row r="5" spans="1:19" ht="35.25" thickBot="1" x14ac:dyDescent="0.3">
      <c r="A5" s="19" t="s">
        <v>9</v>
      </c>
      <c r="B5" s="15" t="s">
        <v>22</v>
      </c>
      <c r="C5" s="15" t="s">
        <v>8</v>
      </c>
      <c r="D5" s="15" t="s">
        <v>23</v>
      </c>
      <c r="E5" s="19">
        <v>58000</v>
      </c>
      <c r="F5" s="19">
        <v>2017</v>
      </c>
      <c r="K5" s="12" t="s">
        <v>53</v>
      </c>
      <c r="L5" s="8"/>
      <c r="M5" s="8"/>
      <c r="N5" s="8"/>
      <c r="O5" s="8"/>
      <c r="P5" s="8"/>
      <c r="Q5" s="8"/>
      <c r="R5" s="8"/>
      <c r="S5" s="8"/>
    </row>
    <row r="6" spans="1:19" ht="35.25" thickBot="1" x14ac:dyDescent="0.3">
      <c r="A6" s="19" t="s">
        <v>10</v>
      </c>
      <c r="B6" s="15" t="s">
        <v>24</v>
      </c>
      <c r="C6" s="15" t="s">
        <v>25</v>
      </c>
      <c r="D6" s="15" t="s">
        <v>17</v>
      </c>
      <c r="E6" s="19">
        <v>48000</v>
      </c>
      <c r="F6" s="19">
        <v>2021</v>
      </c>
      <c r="K6" s="12" t="s">
        <v>54</v>
      </c>
      <c r="L6" s="8"/>
      <c r="M6" s="8"/>
      <c r="N6" s="8"/>
      <c r="O6" s="8"/>
      <c r="P6" s="8"/>
      <c r="Q6" s="8"/>
      <c r="R6" s="8"/>
      <c r="S6" s="8"/>
    </row>
    <row r="7" spans="1:19" ht="35.25" thickBot="1" x14ac:dyDescent="0.3">
      <c r="A7" s="19" t="s">
        <v>26</v>
      </c>
      <c r="B7" s="15" t="s">
        <v>27</v>
      </c>
      <c r="C7" s="15" t="s">
        <v>6</v>
      </c>
      <c r="D7" s="15" t="s">
        <v>28</v>
      </c>
      <c r="E7" s="19">
        <v>62000</v>
      </c>
      <c r="F7" s="19">
        <v>2019</v>
      </c>
    </row>
    <row r="8" spans="1:19" ht="35.25" thickBot="1" x14ac:dyDescent="0.3">
      <c r="A8" s="19" t="s">
        <v>29</v>
      </c>
      <c r="B8" s="15" t="s">
        <v>30</v>
      </c>
      <c r="C8" s="15" t="s">
        <v>11</v>
      </c>
      <c r="D8" s="15" t="s">
        <v>31</v>
      </c>
      <c r="E8" s="19">
        <v>47000</v>
      </c>
      <c r="F8" s="19">
        <v>2020</v>
      </c>
      <c r="K8" s="13" t="s">
        <v>1</v>
      </c>
      <c r="L8" s="14" t="s">
        <v>11</v>
      </c>
      <c r="M8" s="14" t="s">
        <v>4</v>
      </c>
      <c r="N8" s="14" t="s">
        <v>6</v>
      </c>
      <c r="O8" s="14" t="s">
        <v>8</v>
      </c>
      <c r="P8" s="14" t="s">
        <v>25</v>
      </c>
    </row>
    <row r="9" spans="1:19" ht="35.25" thickBot="1" x14ac:dyDescent="0.3">
      <c r="A9" s="19" t="s">
        <v>32</v>
      </c>
      <c r="B9" s="15" t="s">
        <v>33</v>
      </c>
      <c r="C9" s="15" t="s">
        <v>4</v>
      </c>
      <c r="D9" s="15" t="s">
        <v>21</v>
      </c>
      <c r="E9" s="19">
        <v>54000</v>
      </c>
      <c r="F9" s="19">
        <v>2016</v>
      </c>
      <c r="K9" s="15" t="s">
        <v>42</v>
      </c>
      <c r="L9" s="16">
        <v>0.1</v>
      </c>
      <c r="M9" s="16">
        <v>0.08</v>
      </c>
      <c r="N9" s="16">
        <v>0.12</v>
      </c>
      <c r="O9" s="16">
        <v>0.15</v>
      </c>
      <c r="P9" s="16">
        <v>0.09</v>
      </c>
    </row>
    <row r="12" spans="1:19" x14ac:dyDescent="0.25">
      <c r="A12" s="20">
        <v>11</v>
      </c>
      <c r="B12" t="s">
        <v>7</v>
      </c>
      <c r="C12">
        <f>_xlfn.XLOOKUP(B12,A1:A9,E1:E9)</f>
        <v>65000</v>
      </c>
    </row>
    <row r="13" spans="1:19" x14ac:dyDescent="0.25">
      <c r="A13" s="20">
        <v>12</v>
      </c>
      <c r="B13" t="s">
        <v>55</v>
      </c>
      <c r="C13" t="str">
        <f>_xlfn.XLOOKUP(B13,B1:B9,C1:C9)</f>
        <v>Sales</v>
      </c>
    </row>
    <row r="14" spans="1:19" x14ac:dyDescent="0.25">
      <c r="A14" s="20">
        <v>13</v>
      </c>
      <c r="B14" t="s">
        <v>20</v>
      </c>
      <c r="C14" t="str">
        <f>_xlfn.XLOOKUP(B14,B1:B9,D1:D9)</f>
        <v>Bangalore</v>
      </c>
    </row>
    <row r="15" spans="1:19" x14ac:dyDescent="0.25">
      <c r="A15" s="20">
        <v>14</v>
      </c>
      <c r="B15" t="s">
        <v>56</v>
      </c>
      <c r="C15" t="str">
        <f>IFERROR(_xlfn.XLOOKUP(,A1:A9,2,0),"Employee Not Found")</f>
        <v>Employee Not Found</v>
      </c>
    </row>
    <row r="16" spans="1:19" x14ac:dyDescent="0.25">
      <c r="A16" s="20">
        <v>15</v>
      </c>
      <c r="B16" t="s">
        <v>11</v>
      </c>
      <c r="C16" s="17">
        <f>_xlfn.XLOOKUP(B16,K8:P8,K9:P9)</f>
        <v>0.1</v>
      </c>
    </row>
  </sheetData>
  <dataValidations count="1">
    <dataValidation type="list" allowBlank="1" showInputMessage="1" showErrorMessage="1" sqref="B16" xr:uid="{750FE503-817E-4FB4-B74C-E577732467AF}">
      <formula1>$K$8:$P$8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ASDC44</dc:creator>
  <cp:lastModifiedBy>ASDC44</cp:lastModifiedBy>
  <dcterms:created xsi:type="dcterms:W3CDTF">2026-01-31T15:49:55Z</dcterms:created>
  <dcterms:modified xsi:type="dcterms:W3CDTF">2026-02-01T05:53:42Z</dcterms:modified>
</cp:coreProperties>
</file>