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Practical Task\"/>
    </mc:Choice>
  </mc:AlternateContent>
  <xr:revisionPtr revIDLastSave="0" documentId="13_ncr:1_{B30E972F-2F90-476F-8563-905D431C57E3}" xr6:coauthVersionLast="47" xr6:coauthVersionMax="47" xr10:uidLastSave="{00000000-0000-0000-0000-000000000000}"/>
  <bookViews>
    <workbookView xWindow="-120" yWindow="-120" windowWidth="29040" windowHeight="15720" activeTab="9" xr2:uid="{B1312755-037E-4DB6-8D17-EB0725026271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D3" i="1"/>
  <c r="D4" i="1"/>
  <c r="D5" i="1"/>
  <c r="D6" i="1"/>
  <c r="D18" i="1"/>
  <c r="D19" i="1"/>
  <c r="D20" i="1"/>
  <c r="D21" i="1"/>
  <c r="D2" i="1"/>
  <c r="D8" i="1"/>
  <c r="D9" i="1"/>
  <c r="D10" i="1"/>
  <c r="D11" i="1"/>
  <c r="D12" i="1"/>
  <c r="D13" i="1"/>
  <c r="D14" i="1"/>
  <c r="D15" i="1"/>
  <c r="D16" i="1"/>
  <c r="D17" i="1"/>
  <c r="D7" i="1"/>
</calcChain>
</file>

<file path=xl/sharedStrings.xml><?xml version="1.0" encoding="utf-8"?>
<sst xmlns="http://schemas.openxmlformats.org/spreadsheetml/2006/main" count="258" uniqueCount="75">
  <si>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</si>
  <si>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</si>
  <si>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</si>
  <si>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</si>
  <si>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</si>
  <si>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</si>
  <si>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</si>
  <si>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</si>
  <si>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</si>
  <si>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If Marks ≥ 40 → Pass</t>
  </si>
  <si>
    <t>Else → Fail</t>
  </si>
  <si>
    <t>Divya</t>
  </si>
  <si>
    <t>Jyoti</t>
  </si>
  <si>
    <t>Suresh</t>
  </si>
  <si>
    <t>Manoj</t>
  </si>
  <si>
    <t>Nik</t>
  </si>
  <si>
    <t>Jon</t>
  </si>
  <si>
    <t>Prem</t>
  </si>
  <si>
    <t>Esha</t>
  </si>
  <si>
    <t>Meena</t>
  </si>
  <si>
    <t>Karan</t>
  </si>
  <si>
    <t>Saroj</t>
  </si>
  <si>
    <t>Raj</t>
  </si>
  <si>
    <t>Jeel</t>
  </si>
  <si>
    <t>Meet</t>
  </si>
  <si>
    <t>Salary ≥ 40000 → Bonus</t>
  </si>
  <si>
    <t>Else → No Bonus</t>
  </si>
  <si>
    <t>Employee Name</t>
  </si>
  <si>
    <t>Salary</t>
  </si>
  <si>
    <t>Bonus Status</t>
  </si>
  <si>
    <t>Rohit</t>
  </si>
  <si>
    <t>Simran</t>
  </si>
  <si>
    <t>Vijay</t>
  </si>
  <si>
    <t>Nisha</t>
  </si>
  <si>
    <t>≥ 75 → A</t>
  </si>
  <si>
    <t>≥ 60 → B</t>
  </si>
  <si>
    <t>≥ 40 → C</t>
  </si>
  <si>
    <t>&lt; 40 → Fail</t>
  </si>
  <si>
    <t>Grade</t>
  </si>
  <si>
    <t>Age ≥ 21 AND Experience ≥ 1 → Eligible</t>
  </si>
  <si>
    <t>Name</t>
  </si>
  <si>
    <t>Age</t>
  </si>
  <si>
    <t>Experience (Years)</t>
  </si>
  <si>
    <t>Eligible</t>
  </si>
  <si>
    <t>Attendance ≥ 75 AND Assignment = Yes</t>
  </si>
  <si>
    <t>Attendance %</t>
  </si>
  <si>
    <t>Assignment Submitted</t>
  </si>
  <si>
    <t>Yes</t>
  </si>
  <si>
    <t>No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</si>
  <si>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</si>
  <si>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</si>
  <si>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</si>
  <si>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</si>
  <si>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</si>
  <si>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</si>
  <si>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</si>
  <si>
    <t>Salary ≥ 40000 OR CIBIL ≥ 700</t>
  </si>
  <si>
    <t>Applicant</t>
  </si>
  <si>
    <t>CIBIL Score</t>
  </si>
  <si>
    <t>Loan Status</t>
  </si>
  <si>
    <t>If NOT Present → Absent</t>
  </si>
  <si>
    <t>Else → Present</t>
  </si>
  <si>
    <t>Present</t>
  </si>
  <si>
    <t>Status</t>
  </si>
  <si>
    <t>Divide Number 1 by Number 2</t>
  </si>
  <si>
    <t>If error → show "Invalid"</t>
  </si>
  <si>
    <t>Number 1</t>
  </si>
  <si>
    <t>Number 2</t>
  </si>
  <si>
    <t>Attendance ≥ 90 AND Targets ≥ 40 → Excellent</t>
  </si>
  <si>
    <t>Attendance ≥ 80 → Good</t>
  </si>
  <si>
    <t>Else → Needs Improvement</t>
  </si>
  <si>
    <t>Targets Achieved</t>
  </si>
  <si>
    <t>Performance</t>
  </si>
  <si>
    <t>Sunita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</si>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</sst>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FF0000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59FD-1C2F-4636-971D-8091B63E0E23}">
  <dimension ref="A1:X21"/>
  <sheetViews>
    <sheetView topLeftCell="A4" workbookViewId="0">
      <selection activeCell="B7" sqref="B7:B21"/>
    </sheetView>
  </sheetViews>
  <sheetFormatPr defaultRowHeight="15" x14ac:dyDescent="0.25"/>
  <cols>
    <col min="2" max="2" width="10.7109375" customWidth="1"/>
    <col min="3" max="3" width="9.140625" style="2"/>
  </cols>
  <sheetData>
    <row r="1" spans="1:24" ht="34.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24" ht="30" customHeight="1" x14ac:dyDescent="0.25">
      <c r="A2" s="4">
        <v>1</v>
      </c>
      <c r="B2" s="4" t="s">
        <v>4</v>
      </c>
      <c r="C2" s="1">
        <v>78</v>
      </c>
      <c r="D2" s="4" t="str">
        <f>IF(C2 &gt;=40, "Pass", "Fail")</f>
        <v>Pass</v>
      </c>
    </row>
    <row r="3" spans="1:24" ht="30" customHeight="1" x14ac:dyDescent="0.25">
      <c r="A3" s="4">
        <v>2</v>
      </c>
      <c r="B3" s="4" t="s">
        <v>5</v>
      </c>
      <c r="C3" s="1">
        <v>35</v>
      </c>
      <c r="D3" s="4" t="str">
        <f t="shared" ref="D3:D21" si="0">IF(C3 &gt;=40, "Pass", "Fail")</f>
        <v>Fail</v>
      </c>
    </row>
    <row r="4" spans="1:24" ht="30" customHeight="1" x14ac:dyDescent="0.25">
      <c r="A4" s="4">
        <v>3</v>
      </c>
      <c r="B4" s="4" t="s">
        <v>6</v>
      </c>
      <c r="C4" s="1">
        <v>62</v>
      </c>
      <c r="D4" s="4" t="str">
        <f t="shared" si="0"/>
        <v>Pass</v>
      </c>
    </row>
    <row r="5" spans="1:24" ht="30" customHeight="1" x14ac:dyDescent="0.25">
      <c r="A5" s="4">
        <v>4</v>
      </c>
      <c r="B5" s="4" t="s">
        <v>7</v>
      </c>
      <c r="C5" s="1">
        <v>40</v>
      </c>
      <c r="D5" s="4" t="str">
        <f t="shared" si="0"/>
        <v>Pass</v>
      </c>
    </row>
    <row r="6" spans="1:24" ht="30" customHeight="1" x14ac:dyDescent="0.25">
      <c r="A6" s="4">
        <v>5</v>
      </c>
      <c r="B6" s="4" t="s">
        <v>8</v>
      </c>
      <c r="C6" s="1">
        <v>28</v>
      </c>
      <c r="D6" s="4" t="str">
        <f t="shared" si="0"/>
        <v>Fail</v>
      </c>
    </row>
    <row r="7" spans="1:24" ht="30" customHeight="1" x14ac:dyDescent="0.25">
      <c r="A7" s="4">
        <v>6</v>
      </c>
      <c r="B7" s="1" t="s">
        <v>11</v>
      </c>
      <c r="C7" s="5">
        <v>52</v>
      </c>
      <c r="D7" s="4" t="str">
        <f t="shared" si="0"/>
        <v>Pass</v>
      </c>
    </row>
    <row r="8" spans="1:24" ht="30" customHeight="1" x14ac:dyDescent="0.25">
      <c r="A8" s="4">
        <v>7</v>
      </c>
      <c r="B8" s="1" t="s">
        <v>12</v>
      </c>
      <c r="C8" s="5">
        <v>38</v>
      </c>
      <c r="D8" s="4" t="str">
        <f t="shared" si="0"/>
        <v>Fail</v>
      </c>
    </row>
    <row r="9" spans="1:24" ht="30" customHeight="1" x14ac:dyDescent="0.25">
      <c r="A9" s="4">
        <v>8</v>
      </c>
      <c r="B9" s="1" t="s">
        <v>13</v>
      </c>
      <c r="C9" s="5">
        <v>60</v>
      </c>
      <c r="D9" s="4" t="str">
        <f t="shared" si="0"/>
        <v>Pass</v>
      </c>
    </row>
    <row r="10" spans="1:24" ht="30" customHeight="1" x14ac:dyDescent="0.25">
      <c r="A10" s="4">
        <v>9</v>
      </c>
      <c r="B10" s="1" t="s">
        <v>4</v>
      </c>
      <c r="C10" s="5">
        <v>26</v>
      </c>
      <c r="D10" s="4" t="str">
        <f t="shared" si="0"/>
        <v>Fail</v>
      </c>
    </row>
    <row r="11" spans="1:24" ht="30" customHeight="1" x14ac:dyDescent="0.25">
      <c r="A11" s="4">
        <v>10</v>
      </c>
      <c r="B11" s="1" t="s">
        <v>14</v>
      </c>
      <c r="C11" s="5">
        <v>49</v>
      </c>
      <c r="D11" s="4" t="str">
        <f t="shared" si="0"/>
        <v>Pass</v>
      </c>
    </row>
    <row r="12" spans="1:24" ht="30" customHeight="1" x14ac:dyDescent="0.25">
      <c r="A12" s="4">
        <v>11</v>
      </c>
      <c r="B12" s="1" t="s">
        <v>15</v>
      </c>
      <c r="C12" s="5">
        <v>72</v>
      </c>
      <c r="D12" s="4" t="str">
        <f t="shared" si="0"/>
        <v>Pass</v>
      </c>
    </row>
    <row r="13" spans="1:24" ht="30" customHeight="1" x14ac:dyDescent="0.25">
      <c r="A13" s="4">
        <v>12</v>
      </c>
      <c r="B13" s="1" t="s">
        <v>16</v>
      </c>
      <c r="C13" s="5">
        <v>60</v>
      </c>
      <c r="D13" s="4" t="str">
        <f t="shared" si="0"/>
        <v>Pass</v>
      </c>
      <c r="T13" s="12" t="s">
        <v>9</v>
      </c>
      <c r="U13" s="12"/>
      <c r="V13" s="12"/>
      <c r="W13" s="12"/>
      <c r="X13" s="12"/>
    </row>
    <row r="14" spans="1:24" ht="30" customHeight="1" x14ac:dyDescent="0.25">
      <c r="A14" s="4">
        <v>13</v>
      </c>
      <c r="B14" s="1" t="s">
        <v>17</v>
      </c>
      <c r="C14" s="5">
        <v>67</v>
      </c>
      <c r="D14" s="4" t="str">
        <f t="shared" si="0"/>
        <v>Pass</v>
      </c>
      <c r="T14" s="12" t="s">
        <v>10</v>
      </c>
      <c r="U14" s="12"/>
      <c r="V14" s="12"/>
      <c r="W14" s="12"/>
      <c r="X14" s="12"/>
    </row>
    <row r="15" spans="1:24" ht="30" customHeight="1" x14ac:dyDescent="0.25">
      <c r="A15" s="4">
        <v>14</v>
      </c>
      <c r="B15" s="1" t="s">
        <v>18</v>
      </c>
      <c r="C15" s="5">
        <v>68</v>
      </c>
      <c r="D15" s="4" t="str">
        <f t="shared" si="0"/>
        <v>Pass</v>
      </c>
    </row>
    <row r="16" spans="1:24" ht="30" customHeight="1" x14ac:dyDescent="0.25">
      <c r="A16" s="4">
        <v>15</v>
      </c>
      <c r="B16" s="1" t="s">
        <v>19</v>
      </c>
      <c r="C16" s="5">
        <v>50</v>
      </c>
      <c r="D16" s="4" t="str">
        <f t="shared" si="0"/>
        <v>Pass</v>
      </c>
    </row>
    <row r="17" spans="1:4" ht="30" customHeight="1" x14ac:dyDescent="0.25">
      <c r="A17" s="4">
        <v>16</v>
      </c>
      <c r="B17" s="1" t="s">
        <v>20</v>
      </c>
      <c r="C17" s="5">
        <v>56</v>
      </c>
      <c r="D17" s="4" t="str">
        <f t="shared" si="0"/>
        <v>Pass</v>
      </c>
    </row>
    <row r="18" spans="1:4" ht="30" customHeight="1" x14ac:dyDescent="0.25">
      <c r="A18" s="4">
        <v>17</v>
      </c>
      <c r="B18" s="1" t="s">
        <v>21</v>
      </c>
      <c r="C18" s="5">
        <v>68</v>
      </c>
      <c r="D18" s="4" t="str">
        <f t="shared" si="0"/>
        <v>Pass</v>
      </c>
    </row>
    <row r="19" spans="1:4" ht="30" customHeight="1" x14ac:dyDescent="0.25">
      <c r="A19" s="4">
        <v>18</v>
      </c>
      <c r="B19" s="1" t="s">
        <v>22</v>
      </c>
      <c r="C19" s="5">
        <v>55</v>
      </c>
      <c r="D19" s="4" t="str">
        <f t="shared" si="0"/>
        <v>Pass</v>
      </c>
    </row>
    <row r="20" spans="1:4" ht="30" customHeight="1" x14ac:dyDescent="0.25">
      <c r="A20" s="4">
        <v>19</v>
      </c>
      <c r="B20" s="1" t="s">
        <v>23</v>
      </c>
      <c r="C20" s="5">
        <v>30</v>
      </c>
      <c r="D20" s="4" t="str">
        <f t="shared" si="0"/>
        <v>Fail</v>
      </c>
    </row>
    <row r="21" spans="1:4" ht="30" customHeight="1" x14ac:dyDescent="0.25">
      <c r="A21" s="4">
        <v>20</v>
      </c>
      <c r="B21" s="1" t="s">
        <v>24</v>
      </c>
      <c r="C21" s="5">
        <v>53</v>
      </c>
      <c r="D21" s="4" t="str">
        <f t="shared" si="0"/>
        <v>Pass</v>
      </c>
    </row>
  </sheetData>
  <mergeCells count="2">
    <mergeCell ref="T13:X13"/>
    <mergeCell ref="T14:X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B7AB-5AE3-4BB1-9AE0-C05433ACA52B}">
  <dimension ref="A1:X20"/>
  <sheetViews>
    <sheetView topLeftCell="A2" workbookViewId="0">
      <selection activeCell="A7" sqref="A7:A20"/>
    </sheetView>
  </sheetViews>
  <sheetFormatPr defaultRowHeight="15" x14ac:dyDescent="0.25"/>
  <cols>
    <col min="1" max="1" width="13.140625" customWidth="1"/>
    <col min="3" max="3" width="13" customWidth="1"/>
  </cols>
  <sheetData>
    <row r="1" spans="1:3" ht="51.75" x14ac:dyDescent="0.25">
      <c r="A1" s="7" t="s">
        <v>27</v>
      </c>
      <c r="B1" s="7" t="s">
        <v>28</v>
      </c>
      <c r="C1" s="7" t="s">
        <v>29</v>
      </c>
    </row>
    <row r="2" spans="1:3" ht="27.95" customHeight="1" x14ac:dyDescent="0.25">
      <c r="A2" s="4" t="s">
        <v>30</v>
      </c>
      <c r="B2" s="4">
        <v>28000</v>
      </c>
      <c r="C2" s="4" t="str">
        <f>IF(B2&gt;=40000, "Bonus", "No Bonus")</f>
        <v>No Bonus</v>
      </c>
    </row>
    <row r="3" spans="1:3" ht="27.95" customHeight="1" x14ac:dyDescent="0.25">
      <c r="A3" s="4" t="s">
        <v>31</v>
      </c>
      <c r="B3" s="4">
        <v>45000</v>
      </c>
      <c r="C3" s="4" t="str">
        <f t="shared" ref="C3:C20" si="0">IF(B3&gt;=40000, "Bonus", "No Bonus")</f>
        <v>Bonus</v>
      </c>
    </row>
    <row r="4" spans="1:3" ht="27.95" customHeight="1" x14ac:dyDescent="0.25">
      <c r="A4" s="4" t="s">
        <v>32</v>
      </c>
      <c r="B4" s="4">
        <v>52000</v>
      </c>
      <c r="C4" s="4" t="str">
        <f t="shared" si="0"/>
        <v>Bonus</v>
      </c>
    </row>
    <row r="5" spans="1:3" ht="27.95" customHeight="1" x14ac:dyDescent="0.25">
      <c r="A5" s="4" t="s">
        <v>33</v>
      </c>
      <c r="B5" s="4">
        <v>30000</v>
      </c>
      <c r="C5" s="4" t="str">
        <f t="shared" si="0"/>
        <v>No Bonus</v>
      </c>
    </row>
    <row r="6" spans="1:3" ht="27.95" customHeight="1" x14ac:dyDescent="0.3">
      <c r="A6" s="1" t="s">
        <v>11</v>
      </c>
      <c r="B6" s="6">
        <v>37165</v>
      </c>
      <c r="C6" s="4" t="str">
        <f t="shared" si="0"/>
        <v>No Bonus</v>
      </c>
    </row>
    <row r="7" spans="1:3" ht="27.95" customHeight="1" x14ac:dyDescent="0.3">
      <c r="A7" s="1" t="s">
        <v>12</v>
      </c>
      <c r="B7" s="6">
        <v>33076</v>
      </c>
      <c r="C7" s="4" t="str">
        <f t="shared" si="0"/>
        <v>No Bonus</v>
      </c>
    </row>
    <row r="8" spans="1:3" ht="27.95" customHeight="1" x14ac:dyDescent="0.3">
      <c r="A8" s="1" t="s">
        <v>13</v>
      </c>
      <c r="B8" s="6">
        <v>54443</v>
      </c>
      <c r="C8" s="4" t="str">
        <f t="shared" si="0"/>
        <v>Bonus</v>
      </c>
    </row>
    <row r="9" spans="1:3" ht="27.95" customHeight="1" x14ac:dyDescent="0.3">
      <c r="A9" s="1" t="s">
        <v>4</v>
      </c>
      <c r="B9" s="6">
        <v>46502</v>
      </c>
      <c r="C9" s="4" t="str">
        <f t="shared" si="0"/>
        <v>Bonus</v>
      </c>
    </row>
    <row r="10" spans="1:3" ht="27.95" customHeight="1" x14ac:dyDescent="0.3">
      <c r="A10" s="1" t="s">
        <v>14</v>
      </c>
      <c r="B10" s="6">
        <v>53899</v>
      </c>
      <c r="C10" s="4" t="str">
        <f t="shared" si="0"/>
        <v>Bonus</v>
      </c>
    </row>
    <row r="11" spans="1:3" ht="27.95" customHeight="1" x14ac:dyDescent="0.3">
      <c r="A11" s="1" t="s">
        <v>15</v>
      </c>
      <c r="B11" s="6">
        <v>31499</v>
      </c>
      <c r="C11" s="4" t="str">
        <f t="shared" si="0"/>
        <v>No Bonus</v>
      </c>
    </row>
    <row r="12" spans="1:3" ht="27.95" customHeight="1" x14ac:dyDescent="0.3">
      <c r="A12" s="1" t="s">
        <v>16</v>
      </c>
      <c r="B12" s="6">
        <v>49056</v>
      </c>
      <c r="C12" s="4" t="str">
        <f t="shared" si="0"/>
        <v>Bonus</v>
      </c>
    </row>
    <row r="13" spans="1:3" ht="27.95" customHeight="1" x14ac:dyDescent="0.3">
      <c r="A13" s="1" t="s">
        <v>17</v>
      </c>
      <c r="B13" s="6">
        <v>30390</v>
      </c>
      <c r="C13" s="4" t="str">
        <f t="shared" si="0"/>
        <v>No Bonus</v>
      </c>
    </row>
    <row r="14" spans="1:3" ht="27.95" customHeight="1" x14ac:dyDescent="0.3">
      <c r="A14" s="1" t="s">
        <v>18</v>
      </c>
      <c r="B14" s="6">
        <v>30016</v>
      </c>
      <c r="C14" s="4" t="str">
        <f t="shared" si="0"/>
        <v>No Bonus</v>
      </c>
    </row>
    <row r="15" spans="1:3" ht="27.95" customHeight="1" x14ac:dyDescent="0.3">
      <c r="A15" s="1" t="s">
        <v>19</v>
      </c>
      <c r="B15" s="6">
        <v>33860</v>
      </c>
      <c r="C15" s="4" t="str">
        <f t="shared" si="0"/>
        <v>No Bonus</v>
      </c>
    </row>
    <row r="16" spans="1:3" ht="27.95" customHeight="1" x14ac:dyDescent="0.3">
      <c r="A16" s="1" t="s">
        <v>20</v>
      </c>
      <c r="B16" s="6">
        <v>57702</v>
      </c>
      <c r="C16" s="4" t="str">
        <f t="shared" si="0"/>
        <v>Bonus</v>
      </c>
    </row>
    <row r="17" spans="1:24" ht="27.95" customHeight="1" x14ac:dyDescent="0.3">
      <c r="A17" s="1" t="s">
        <v>21</v>
      </c>
      <c r="B17" s="6">
        <v>47686</v>
      </c>
      <c r="C17" s="4" t="str">
        <f t="shared" si="0"/>
        <v>Bonus</v>
      </c>
    </row>
    <row r="18" spans="1:24" ht="27.95" customHeight="1" x14ac:dyDescent="0.3">
      <c r="A18" s="1" t="s">
        <v>22</v>
      </c>
      <c r="B18" s="6">
        <v>31110</v>
      </c>
      <c r="C18" s="4" t="str">
        <f t="shared" si="0"/>
        <v>No Bonus</v>
      </c>
    </row>
    <row r="19" spans="1:24" ht="27.95" customHeight="1" x14ac:dyDescent="0.3">
      <c r="A19" s="1" t="s">
        <v>23</v>
      </c>
      <c r="B19" s="6">
        <v>48766</v>
      </c>
      <c r="C19" s="4" t="str">
        <f t="shared" si="0"/>
        <v>Bonus</v>
      </c>
      <c r="S19" s="12" t="s">
        <v>25</v>
      </c>
      <c r="T19" s="12"/>
      <c r="U19" s="12"/>
      <c r="V19" s="12"/>
      <c r="W19" s="12"/>
      <c r="X19" s="12"/>
    </row>
    <row r="20" spans="1:24" ht="27.95" customHeight="1" x14ac:dyDescent="0.3">
      <c r="A20" s="1" t="s">
        <v>24</v>
      </c>
      <c r="B20" s="6">
        <v>52194</v>
      </c>
      <c r="C20" s="4" t="str">
        <f t="shared" si="0"/>
        <v>Bonus</v>
      </c>
      <c r="S20" s="12" t="s">
        <v>26</v>
      </c>
      <c r="T20" s="12"/>
      <c r="U20" s="12"/>
      <c r="V20" s="12"/>
      <c r="W20" s="12"/>
      <c r="X20" s="12"/>
    </row>
  </sheetData>
  <mergeCells count="2">
    <mergeCell ref="S19:X19"/>
    <mergeCell ref="S20:X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82E3-2AE7-4908-9220-3734BFA80C7E}">
  <dimension ref="A1:V21"/>
  <sheetViews>
    <sheetView workbookViewId="0">
      <selection activeCell="L13" sqref="L13"/>
    </sheetView>
  </sheetViews>
  <sheetFormatPr defaultRowHeight="15" x14ac:dyDescent="0.25"/>
  <cols>
    <col min="1" max="1" width="11.5703125" customWidth="1"/>
  </cols>
  <sheetData>
    <row r="1" spans="1:22" ht="51.75" x14ac:dyDescent="0.25">
      <c r="A1" s="7" t="s">
        <v>1</v>
      </c>
      <c r="B1" s="7" t="s">
        <v>2</v>
      </c>
      <c r="C1" s="7" t="s">
        <v>38</v>
      </c>
    </row>
    <row r="2" spans="1:22" ht="30" customHeight="1" x14ac:dyDescent="0.25">
      <c r="A2" s="4" t="s">
        <v>4</v>
      </c>
      <c r="B2" s="4">
        <v>82</v>
      </c>
      <c r="C2" s="4" t="str">
        <f>IF(B2&gt;=75, "A",IF(B2&gt;=60, "B",IF(B2&gt;=40, "C", "Fail")))</f>
        <v>A</v>
      </c>
    </row>
    <row r="3" spans="1:22" ht="30" customHeight="1" x14ac:dyDescent="0.25">
      <c r="A3" s="4" t="s">
        <v>5</v>
      </c>
      <c r="B3" s="4">
        <v>67</v>
      </c>
      <c r="C3" s="4" t="str">
        <f t="shared" ref="C3:C21" si="0">IF(B3&gt;=75, "A",IF(B3&gt;=60, "B",IF(B3&gt;=40, "C", "Fail")))</f>
        <v>B</v>
      </c>
    </row>
    <row r="4" spans="1:22" ht="30" customHeight="1" x14ac:dyDescent="0.25">
      <c r="A4" s="4" t="s">
        <v>6</v>
      </c>
      <c r="B4" s="4">
        <v>45</v>
      </c>
      <c r="C4" s="4" t="str">
        <f t="shared" si="0"/>
        <v>C</v>
      </c>
    </row>
    <row r="5" spans="1:22" ht="30" customHeight="1" x14ac:dyDescent="0.25">
      <c r="A5" s="4" t="s">
        <v>7</v>
      </c>
      <c r="B5" s="4">
        <v>33</v>
      </c>
      <c r="C5" s="4" t="str">
        <f t="shared" si="0"/>
        <v>Fail</v>
      </c>
    </row>
    <row r="6" spans="1:22" ht="30" customHeight="1" x14ac:dyDescent="0.25">
      <c r="A6" s="4" t="s">
        <v>8</v>
      </c>
      <c r="B6" s="4">
        <v>90</v>
      </c>
      <c r="C6" s="4" t="str">
        <f t="shared" si="0"/>
        <v>A</v>
      </c>
    </row>
    <row r="7" spans="1:22" ht="30" customHeight="1" x14ac:dyDescent="0.3">
      <c r="A7" s="1" t="s">
        <v>11</v>
      </c>
      <c r="B7" s="8">
        <v>60</v>
      </c>
      <c r="C7" s="4" t="str">
        <f t="shared" si="0"/>
        <v>B</v>
      </c>
    </row>
    <row r="8" spans="1:22" ht="30" customHeight="1" x14ac:dyDescent="0.3">
      <c r="A8" s="1" t="s">
        <v>12</v>
      </c>
      <c r="B8" s="8">
        <v>71</v>
      </c>
      <c r="C8" s="4" t="str">
        <f t="shared" si="0"/>
        <v>B</v>
      </c>
    </row>
    <row r="9" spans="1:22" ht="30" customHeight="1" x14ac:dyDescent="0.3">
      <c r="A9" s="1" t="s">
        <v>13</v>
      </c>
      <c r="B9" s="8">
        <v>59</v>
      </c>
      <c r="C9" s="4" t="str">
        <f t="shared" si="0"/>
        <v>C</v>
      </c>
      <c r="R9" s="13" t="s">
        <v>34</v>
      </c>
      <c r="S9" s="13"/>
      <c r="T9" s="13"/>
      <c r="U9" s="13"/>
      <c r="V9" s="13"/>
    </row>
    <row r="10" spans="1:22" ht="30" customHeight="1" x14ac:dyDescent="0.3">
      <c r="A10" s="1" t="s">
        <v>4</v>
      </c>
      <c r="B10" s="8">
        <v>69</v>
      </c>
      <c r="C10" s="4" t="str">
        <f t="shared" si="0"/>
        <v>B</v>
      </c>
      <c r="R10" s="13" t="s">
        <v>35</v>
      </c>
      <c r="S10" s="13"/>
      <c r="T10" s="13"/>
      <c r="U10" s="13"/>
      <c r="V10" s="13"/>
    </row>
    <row r="11" spans="1:22" ht="30" customHeight="1" x14ac:dyDescent="0.3">
      <c r="A11" s="1" t="s">
        <v>14</v>
      </c>
      <c r="B11" s="8">
        <v>71</v>
      </c>
      <c r="C11" s="4" t="str">
        <f t="shared" si="0"/>
        <v>B</v>
      </c>
      <c r="R11" s="13" t="s">
        <v>36</v>
      </c>
      <c r="S11" s="13"/>
      <c r="T11" s="13"/>
      <c r="U11" s="13"/>
      <c r="V11" s="13"/>
    </row>
    <row r="12" spans="1:22" ht="30" customHeight="1" x14ac:dyDescent="0.3">
      <c r="A12" s="1" t="s">
        <v>15</v>
      </c>
      <c r="B12" s="8">
        <v>84</v>
      </c>
      <c r="C12" s="4" t="str">
        <f t="shared" si="0"/>
        <v>A</v>
      </c>
      <c r="R12" s="13" t="s">
        <v>37</v>
      </c>
      <c r="S12" s="13"/>
      <c r="T12" s="13"/>
      <c r="U12" s="13"/>
      <c r="V12" s="13"/>
    </row>
    <row r="13" spans="1:22" ht="30" customHeight="1" x14ac:dyDescent="0.3">
      <c r="A13" s="1" t="s">
        <v>16</v>
      </c>
      <c r="B13" s="8">
        <v>62</v>
      </c>
      <c r="C13" s="4" t="str">
        <f t="shared" si="0"/>
        <v>B</v>
      </c>
    </row>
    <row r="14" spans="1:22" ht="30" customHeight="1" x14ac:dyDescent="0.3">
      <c r="A14" s="1" t="s">
        <v>17</v>
      </c>
      <c r="B14" s="8">
        <v>71</v>
      </c>
      <c r="C14" s="4" t="str">
        <f t="shared" si="0"/>
        <v>B</v>
      </c>
    </row>
    <row r="15" spans="1:22" ht="30" customHeight="1" x14ac:dyDescent="0.3">
      <c r="A15" s="1" t="s">
        <v>18</v>
      </c>
      <c r="B15" s="8">
        <v>58</v>
      </c>
      <c r="C15" s="4" t="str">
        <f t="shared" si="0"/>
        <v>C</v>
      </c>
    </row>
    <row r="16" spans="1:22" ht="30" customHeight="1" x14ac:dyDescent="0.3">
      <c r="A16" s="1" t="s">
        <v>19</v>
      </c>
      <c r="B16" s="8">
        <v>50</v>
      </c>
      <c r="C16" s="4" t="str">
        <f t="shared" si="0"/>
        <v>C</v>
      </c>
    </row>
    <row r="17" spans="1:3" ht="30" customHeight="1" x14ac:dyDescent="0.3">
      <c r="A17" s="1" t="s">
        <v>20</v>
      </c>
      <c r="B17" s="8">
        <v>60</v>
      </c>
      <c r="C17" s="4" t="str">
        <f t="shared" si="0"/>
        <v>B</v>
      </c>
    </row>
    <row r="18" spans="1:3" ht="30" customHeight="1" x14ac:dyDescent="0.3">
      <c r="A18" s="1" t="s">
        <v>21</v>
      </c>
      <c r="B18" s="8">
        <v>52</v>
      </c>
      <c r="C18" s="4" t="str">
        <f t="shared" si="0"/>
        <v>C</v>
      </c>
    </row>
    <row r="19" spans="1:3" ht="30" customHeight="1" x14ac:dyDescent="0.3">
      <c r="A19" s="1" t="s">
        <v>22</v>
      </c>
      <c r="B19" s="8">
        <v>57</v>
      </c>
      <c r="C19" s="4" t="str">
        <f t="shared" si="0"/>
        <v>C</v>
      </c>
    </row>
    <row r="20" spans="1:3" ht="30" customHeight="1" x14ac:dyDescent="0.3">
      <c r="A20" s="1" t="s">
        <v>23</v>
      </c>
      <c r="B20" s="8">
        <v>48</v>
      </c>
      <c r="C20" s="4" t="str">
        <f t="shared" si="0"/>
        <v>C</v>
      </c>
    </row>
    <row r="21" spans="1:3" ht="30" customHeight="1" x14ac:dyDescent="0.3">
      <c r="A21" s="1" t="s">
        <v>24</v>
      </c>
      <c r="B21" s="8">
        <v>87</v>
      </c>
      <c r="C21" s="4" t="str">
        <f t="shared" si="0"/>
        <v>A</v>
      </c>
    </row>
  </sheetData>
  <mergeCells count="4">
    <mergeCell ref="R9:V9"/>
    <mergeCell ref="R10:V10"/>
    <mergeCell ref="R11:V11"/>
    <mergeCell ref="R12:V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7ABC-FE41-4AB1-AC37-ABCB798F20B3}">
  <dimension ref="A1:W19"/>
  <sheetViews>
    <sheetView workbookViewId="0">
      <selection activeCell="D2" sqref="D2"/>
    </sheetView>
  </sheetViews>
  <sheetFormatPr defaultRowHeight="15" x14ac:dyDescent="0.25"/>
  <cols>
    <col min="1" max="1" width="11.28515625" customWidth="1"/>
    <col min="4" max="4" width="14.140625" customWidth="1"/>
  </cols>
  <sheetData>
    <row r="1" spans="1:23" ht="51.75" x14ac:dyDescent="0.25">
      <c r="A1" s="7" t="s">
        <v>40</v>
      </c>
      <c r="B1" s="7" t="s">
        <v>41</v>
      </c>
      <c r="C1" s="7" t="s">
        <v>42</v>
      </c>
      <c r="D1" s="7" t="s">
        <v>43</v>
      </c>
    </row>
    <row r="2" spans="1:23" ht="24.95" customHeight="1" x14ac:dyDescent="0.25">
      <c r="A2" s="1" t="s">
        <v>30</v>
      </c>
      <c r="B2" s="1">
        <v>25</v>
      </c>
      <c r="C2" s="1">
        <v>2</v>
      </c>
      <c r="D2" s="1" t="str">
        <f>IF(AND(B2&gt;=21, C2&gt;=1),  "Experience", "Eligible")</f>
        <v>Experience</v>
      </c>
    </row>
    <row r="3" spans="1:23" ht="24.95" customHeight="1" x14ac:dyDescent="0.25">
      <c r="A3" s="1" t="s">
        <v>31</v>
      </c>
      <c r="B3" s="1">
        <v>20</v>
      </c>
      <c r="C3" s="1">
        <v>1</v>
      </c>
      <c r="D3" s="1" t="str">
        <f t="shared" ref="D3:D19" si="0">IF(AND(B3&gt;=21, C3&gt;=1),  "Experience", "Eligible")</f>
        <v>Eligible</v>
      </c>
    </row>
    <row r="4" spans="1:23" ht="24.95" customHeight="1" x14ac:dyDescent="0.25">
      <c r="A4" s="1" t="s">
        <v>32</v>
      </c>
      <c r="B4" s="1">
        <v>30</v>
      </c>
      <c r="C4" s="1">
        <v>5</v>
      </c>
      <c r="D4" s="1" t="str">
        <f t="shared" si="0"/>
        <v>Experience</v>
      </c>
    </row>
    <row r="5" spans="1:23" ht="24.95" customHeight="1" x14ac:dyDescent="0.25">
      <c r="A5" s="1" t="s">
        <v>33</v>
      </c>
      <c r="B5" s="1">
        <v>22</v>
      </c>
      <c r="C5" s="1">
        <v>0</v>
      </c>
      <c r="D5" s="1" t="str">
        <f t="shared" si="0"/>
        <v>Eligible</v>
      </c>
    </row>
    <row r="6" spans="1:23" ht="24.95" customHeight="1" x14ac:dyDescent="0.3">
      <c r="A6" s="1" t="s">
        <v>12</v>
      </c>
      <c r="B6" s="8">
        <v>29</v>
      </c>
      <c r="C6" s="8">
        <v>5</v>
      </c>
      <c r="D6" s="1" t="str">
        <f t="shared" si="0"/>
        <v>Experience</v>
      </c>
    </row>
    <row r="7" spans="1:23" ht="24.95" customHeight="1" x14ac:dyDescent="0.3">
      <c r="A7" s="1" t="s">
        <v>13</v>
      </c>
      <c r="B7" s="8">
        <v>20</v>
      </c>
      <c r="C7" s="8">
        <v>1</v>
      </c>
      <c r="D7" s="1" t="str">
        <f t="shared" si="0"/>
        <v>Eligible</v>
      </c>
    </row>
    <row r="8" spans="1:23" ht="24.95" customHeight="1" x14ac:dyDescent="0.3">
      <c r="A8" s="1" t="s">
        <v>4</v>
      </c>
      <c r="B8" s="8">
        <v>28</v>
      </c>
      <c r="C8" s="8">
        <v>1</v>
      </c>
      <c r="D8" s="1" t="str">
        <f t="shared" si="0"/>
        <v>Experience</v>
      </c>
    </row>
    <row r="9" spans="1:23" ht="24.95" customHeight="1" x14ac:dyDescent="0.3">
      <c r="A9" s="1" t="s">
        <v>14</v>
      </c>
      <c r="B9" s="8">
        <v>29</v>
      </c>
      <c r="C9" s="8">
        <v>3</v>
      </c>
      <c r="D9" s="1" t="str">
        <f t="shared" si="0"/>
        <v>Experience</v>
      </c>
      <c r="S9" s="12" t="s">
        <v>39</v>
      </c>
      <c r="T9" s="12"/>
      <c r="U9" s="12"/>
      <c r="V9" s="12"/>
      <c r="W9" s="12"/>
    </row>
    <row r="10" spans="1:23" ht="24.95" customHeight="1" x14ac:dyDescent="0.3">
      <c r="A10" s="1" t="s">
        <v>15</v>
      </c>
      <c r="B10" s="8">
        <v>21</v>
      </c>
      <c r="C10" s="8">
        <v>1</v>
      </c>
      <c r="D10" s="1" t="str">
        <f t="shared" si="0"/>
        <v>Experience</v>
      </c>
    </row>
    <row r="11" spans="1:23" ht="24.95" customHeight="1" x14ac:dyDescent="0.3">
      <c r="A11" s="1" t="s">
        <v>16</v>
      </c>
      <c r="B11" s="8">
        <v>30</v>
      </c>
      <c r="C11" s="8">
        <v>2</v>
      </c>
      <c r="D11" s="1" t="str">
        <f t="shared" si="0"/>
        <v>Experience</v>
      </c>
    </row>
    <row r="12" spans="1:23" ht="24.95" customHeight="1" x14ac:dyDescent="0.3">
      <c r="A12" s="1" t="s">
        <v>17</v>
      </c>
      <c r="B12" s="8">
        <v>25</v>
      </c>
      <c r="C12" s="8">
        <v>2</v>
      </c>
      <c r="D12" s="1" t="str">
        <f t="shared" si="0"/>
        <v>Experience</v>
      </c>
    </row>
    <row r="13" spans="1:23" ht="24.95" customHeight="1" x14ac:dyDescent="0.3">
      <c r="A13" s="1" t="s">
        <v>18</v>
      </c>
      <c r="B13" s="8">
        <v>20</v>
      </c>
      <c r="C13" s="8">
        <v>0</v>
      </c>
      <c r="D13" s="1" t="str">
        <f t="shared" si="0"/>
        <v>Eligible</v>
      </c>
    </row>
    <row r="14" spans="1:23" ht="24.95" customHeight="1" x14ac:dyDescent="0.3">
      <c r="A14" s="1" t="s">
        <v>19</v>
      </c>
      <c r="B14" s="8">
        <v>29</v>
      </c>
      <c r="C14" s="8">
        <v>2</v>
      </c>
      <c r="D14" s="1" t="str">
        <f t="shared" si="0"/>
        <v>Experience</v>
      </c>
    </row>
    <row r="15" spans="1:23" ht="24.95" customHeight="1" x14ac:dyDescent="0.3">
      <c r="A15" s="1" t="s">
        <v>20</v>
      </c>
      <c r="B15" s="8">
        <v>21</v>
      </c>
      <c r="C15" s="8">
        <v>4</v>
      </c>
      <c r="D15" s="1" t="str">
        <f t="shared" si="0"/>
        <v>Experience</v>
      </c>
    </row>
    <row r="16" spans="1:23" ht="24.95" customHeight="1" x14ac:dyDescent="0.3">
      <c r="A16" s="1" t="s">
        <v>21</v>
      </c>
      <c r="B16" s="8">
        <v>23</v>
      </c>
      <c r="C16" s="8">
        <v>3</v>
      </c>
      <c r="D16" s="1" t="str">
        <f t="shared" si="0"/>
        <v>Experience</v>
      </c>
    </row>
    <row r="17" spans="1:4" ht="24.95" customHeight="1" x14ac:dyDescent="0.3">
      <c r="A17" s="1" t="s">
        <v>22</v>
      </c>
      <c r="B17" s="8">
        <v>24</v>
      </c>
      <c r="C17" s="8">
        <v>4</v>
      </c>
      <c r="D17" s="1" t="str">
        <f t="shared" si="0"/>
        <v>Experience</v>
      </c>
    </row>
    <row r="18" spans="1:4" ht="24.95" customHeight="1" x14ac:dyDescent="0.3">
      <c r="A18" s="1" t="s">
        <v>23</v>
      </c>
      <c r="B18" s="8">
        <v>29</v>
      </c>
      <c r="C18" s="8">
        <v>2</v>
      </c>
      <c r="D18" s="1" t="str">
        <f t="shared" si="0"/>
        <v>Experience</v>
      </c>
    </row>
    <row r="19" spans="1:4" ht="24.95" customHeight="1" x14ac:dyDescent="0.3">
      <c r="A19" s="1" t="s">
        <v>24</v>
      </c>
      <c r="B19" s="9">
        <v>27</v>
      </c>
      <c r="C19" s="8">
        <v>1</v>
      </c>
      <c r="D19" s="1" t="str">
        <f t="shared" si="0"/>
        <v>Experience</v>
      </c>
    </row>
  </sheetData>
  <mergeCells count="1">
    <mergeCell ref="S9:W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C944-DCD5-4D80-B65A-F45D3528A7FC}">
  <dimension ref="A1:W19"/>
  <sheetViews>
    <sheetView workbookViewId="0">
      <selection activeCell="I15" sqref="I15"/>
    </sheetView>
  </sheetViews>
  <sheetFormatPr defaultRowHeight="15" x14ac:dyDescent="0.25"/>
  <cols>
    <col min="1" max="1" width="21.140625" customWidth="1"/>
    <col min="2" max="2" width="18.85546875" style="10" customWidth="1"/>
    <col min="3" max="3" width="15" customWidth="1"/>
    <col min="4" max="4" width="15.7109375" customWidth="1"/>
  </cols>
  <sheetData>
    <row r="1" spans="1:23" ht="34.5" x14ac:dyDescent="0.25">
      <c r="A1" s="11" t="s">
        <v>1</v>
      </c>
      <c r="B1" s="11" t="s">
        <v>45</v>
      </c>
      <c r="C1" s="11" t="s">
        <v>46</v>
      </c>
      <c r="D1" s="11" t="s">
        <v>43</v>
      </c>
    </row>
    <row r="2" spans="1:23" ht="24.95" customHeight="1" x14ac:dyDescent="0.25">
      <c r="A2" s="1" t="s">
        <v>4</v>
      </c>
      <c r="B2" s="1">
        <v>85</v>
      </c>
      <c r="C2" s="1" t="s">
        <v>47</v>
      </c>
      <c r="D2" s="4" t="str">
        <f>IF(AND(B2&gt;=75,C2="Yes"),"Eligible"," Not Eligible")</f>
        <v>Eligible</v>
      </c>
    </row>
    <row r="3" spans="1:23" ht="24.95" customHeight="1" x14ac:dyDescent="0.25">
      <c r="A3" s="1" t="s">
        <v>5</v>
      </c>
      <c r="B3" s="1">
        <v>72</v>
      </c>
      <c r="C3" s="1" t="s">
        <v>47</v>
      </c>
      <c r="D3" s="4" t="str">
        <f t="shared" ref="D3:D19" si="0">IF(AND(B3&gt;=75,C3="Yes"),"Eligible"," Not Eligible")</f>
        <v xml:space="preserve"> Not Eligible</v>
      </c>
    </row>
    <row r="4" spans="1:23" ht="24.95" customHeight="1" x14ac:dyDescent="0.25">
      <c r="A4" s="1" t="s">
        <v>6</v>
      </c>
      <c r="B4" s="1">
        <v>90</v>
      </c>
      <c r="C4" s="1" t="s">
        <v>48</v>
      </c>
      <c r="D4" s="4" t="str">
        <f t="shared" si="0"/>
        <v xml:space="preserve"> Not Eligible</v>
      </c>
    </row>
    <row r="5" spans="1:23" ht="24.95" customHeight="1" x14ac:dyDescent="0.25">
      <c r="A5" s="1" t="s">
        <v>7</v>
      </c>
      <c r="B5" s="1">
        <v>80</v>
      </c>
      <c r="C5" s="1" t="s">
        <v>47</v>
      </c>
      <c r="D5" s="4" t="str">
        <f t="shared" si="0"/>
        <v>Eligible</v>
      </c>
    </row>
    <row r="6" spans="1:23" ht="24.95" customHeight="1" x14ac:dyDescent="0.3">
      <c r="A6" s="1" t="s">
        <v>12</v>
      </c>
      <c r="B6" s="8">
        <v>89</v>
      </c>
      <c r="C6" s="1" t="s">
        <v>47</v>
      </c>
      <c r="D6" s="4" t="str">
        <f t="shared" si="0"/>
        <v>Eligible</v>
      </c>
    </row>
    <row r="7" spans="1:23" ht="24.95" customHeight="1" x14ac:dyDescent="0.3">
      <c r="A7" s="1" t="s">
        <v>13</v>
      </c>
      <c r="B7" s="8">
        <v>87</v>
      </c>
      <c r="C7" s="1" t="s">
        <v>47</v>
      </c>
      <c r="D7" s="4" t="str">
        <f t="shared" si="0"/>
        <v>Eligible</v>
      </c>
    </row>
    <row r="8" spans="1:23" ht="24.95" customHeight="1" x14ac:dyDescent="0.3">
      <c r="A8" s="1" t="s">
        <v>4</v>
      </c>
      <c r="B8" s="8">
        <v>84</v>
      </c>
      <c r="C8" s="1" t="s">
        <v>48</v>
      </c>
      <c r="D8" s="4" t="str">
        <f t="shared" si="0"/>
        <v xml:space="preserve"> Not Eligible</v>
      </c>
    </row>
    <row r="9" spans="1:23" ht="24.95" customHeight="1" x14ac:dyDescent="0.3">
      <c r="A9" s="1" t="s">
        <v>14</v>
      </c>
      <c r="B9" s="8">
        <v>80</v>
      </c>
      <c r="C9" s="1" t="s">
        <v>47</v>
      </c>
      <c r="D9" s="4" t="str">
        <f t="shared" si="0"/>
        <v>Eligible</v>
      </c>
    </row>
    <row r="10" spans="1:23" ht="24.95" customHeight="1" x14ac:dyDescent="0.3">
      <c r="A10" s="1" t="s">
        <v>15</v>
      </c>
      <c r="B10" s="8">
        <v>90</v>
      </c>
      <c r="C10" s="1" t="s">
        <v>47</v>
      </c>
      <c r="D10" s="4" t="str">
        <f t="shared" si="0"/>
        <v>Eligible</v>
      </c>
      <c r="S10" s="12" t="s">
        <v>44</v>
      </c>
      <c r="T10" s="12"/>
      <c r="U10" s="12"/>
      <c r="V10" s="12"/>
      <c r="W10" s="12"/>
    </row>
    <row r="11" spans="1:23" ht="24.95" customHeight="1" x14ac:dyDescent="0.3">
      <c r="A11" s="1" t="s">
        <v>16</v>
      </c>
      <c r="B11" s="8">
        <v>88</v>
      </c>
      <c r="C11" s="1" t="s">
        <v>47</v>
      </c>
      <c r="D11" s="4" t="str">
        <f t="shared" si="0"/>
        <v>Eligible</v>
      </c>
    </row>
    <row r="12" spans="1:23" ht="24.95" customHeight="1" x14ac:dyDescent="0.3">
      <c r="A12" s="1" t="s">
        <v>17</v>
      </c>
      <c r="B12" s="8">
        <v>82</v>
      </c>
      <c r="C12" s="1" t="s">
        <v>48</v>
      </c>
      <c r="D12" s="4" t="str">
        <f t="shared" si="0"/>
        <v xml:space="preserve"> Not Eligible</v>
      </c>
    </row>
    <row r="13" spans="1:23" ht="24.95" customHeight="1" x14ac:dyDescent="0.3">
      <c r="A13" s="1" t="s">
        <v>18</v>
      </c>
      <c r="B13" s="8">
        <v>85</v>
      </c>
      <c r="C13" s="1" t="s">
        <v>47</v>
      </c>
      <c r="D13" s="4" t="str">
        <f t="shared" si="0"/>
        <v>Eligible</v>
      </c>
    </row>
    <row r="14" spans="1:23" ht="24.95" customHeight="1" x14ac:dyDescent="0.3">
      <c r="A14" s="1" t="s">
        <v>19</v>
      </c>
      <c r="B14" s="8">
        <v>89</v>
      </c>
      <c r="C14" s="1" t="s">
        <v>47</v>
      </c>
      <c r="D14" s="4" t="str">
        <f t="shared" si="0"/>
        <v>Eligible</v>
      </c>
    </row>
    <row r="15" spans="1:23" ht="24.95" customHeight="1" x14ac:dyDescent="0.3">
      <c r="A15" s="1" t="s">
        <v>20</v>
      </c>
      <c r="B15" s="8">
        <v>83</v>
      </c>
      <c r="C15" s="1" t="s">
        <v>47</v>
      </c>
      <c r="D15" s="4" t="str">
        <f t="shared" si="0"/>
        <v>Eligible</v>
      </c>
    </row>
    <row r="16" spans="1:23" ht="24.95" customHeight="1" x14ac:dyDescent="0.3">
      <c r="A16" s="1" t="s">
        <v>21</v>
      </c>
      <c r="B16" s="8">
        <v>81</v>
      </c>
      <c r="C16" s="1" t="s">
        <v>48</v>
      </c>
      <c r="D16" s="4" t="str">
        <f t="shared" si="0"/>
        <v xml:space="preserve"> Not Eligible</v>
      </c>
    </row>
    <row r="17" spans="1:4" ht="24.95" customHeight="1" x14ac:dyDescent="0.3">
      <c r="A17" s="1" t="s">
        <v>22</v>
      </c>
      <c r="B17" s="8">
        <v>83</v>
      </c>
      <c r="C17" s="1" t="s">
        <v>47</v>
      </c>
      <c r="D17" s="4" t="str">
        <f t="shared" si="0"/>
        <v>Eligible</v>
      </c>
    </row>
    <row r="18" spans="1:4" ht="24.95" customHeight="1" x14ac:dyDescent="0.3">
      <c r="A18" s="1" t="s">
        <v>23</v>
      </c>
      <c r="B18" s="8">
        <v>90</v>
      </c>
      <c r="C18" s="1" t="s">
        <v>48</v>
      </c>
      <c r="D18" s="4" t="str">
        <f t="shared" si="0"/>
        <v xml:space="preserve"> Not Eligible</v>
      </c>
    </row>
    <row r="19" spans="1:4" ht="24.95" customHeight="1" x14ac:dyDescent="0.3">
      <c r="A19" s="1" t="s">
        <v>24</v>
      </c>
      <c r="B19" s="8">
        <v>84</v>
      </c>
      <c r="C19" s="1" t="s">
        <v>47</v>
      </c>
      <c r="D19" s="4" t="str">
        <f t="shared" si="0"/>
        <v>Eligible</v>
      </c>
    </row>
  </sheetData>
  <mergeCells count="1">
    <mergeCell ref="S10:W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6E3C-5590-4FEE-BDC8-875B95E80765}">
  <dimension ref="A1:X19"/>
  <sheetViews>
    <sheetView workbookViewId="0">
      <selection activeCell="A6" sqref="A6:A19"/>
    </sheetView>
  </sheetViews>
  <sheetFormatPr defaultRowHeight="15" x14ac:dyDescent="0.25"/>
  <cols>
    <col min="1" max="1" width="21" customWidth="1"/>
    <col min="2" max="2" width="14.42578125" customWidth="1"/>
    <col min="3" max="3" width="16.85546875" customWidth="1"/>
    <col min="4" max="4" width="14.140625" customWidth="1"/>
  </cols>
  <sheetData>
    <row r="1" spans="1:24" ht="34.5" x14ac:dyDescent="0.25">
      <c r="A1" s="11" t="s">
        <v>50</v>
      </c>
      <c r="B1" s="11" t="s">
        <v>51</v>
      </c>
      <c r="C1" s="11" t="s">
        <v>52</v>
      </c>
      <c r="D1" s="11" t="s">
        <v>53</v>
      </c>
    </row>
    <row r="2" spans="1:24" ht="24.95" customHeight="1" x14ac:dyDescent="0.25">
      <c r="A2" s="1" t="s">
        <v>54</v>
      </c>
      <c r="B2" s="1">
        <v>9000</v>
      </c>
      <c r="C2" s="1" t="s">
        <v>48</v>
      </c>
      <c r="D2" s="1" t="str">
        <f>IF(OR(B2&gt;=10000, C2="Yes"), "Discount", "No Discount")</f>
        <v>No Discount</v>
      </c>
    </row>
    <row r="3" spans="1:24" ht="24.95" customHeight="1" x14ac:dyDescent="0.25">
      <c r="A3" s="1" t="s">
        <v>55</v>
      </c>
      <c r="B3" s="1">
        <v>12000</v>
      </c>
      <c r="C3" s="1" t="s">
        <v>48</v>
      </c>
      <c r="D3" s="1" t="str">
        <f t="shared" ref="D3:D19" si="0">IF(OR(B3&gt;=10000, C3="Yes"), "Discount", "No Discount")</f>
        <v>Discount</v>
      </c>
    </row>
    <row r="4" spans="1:24" ht="24.95" customHeight="1" x14ac:dyDescent="0.25">
      <c r="A4" s="1" t="s">
        <v>6</v>
      </c>
      <c r="B4" s="1">
        <v>4000</v>
      </c>
      <c r="C4" s="1" t="s">
        <v>47</v>
      </c>
      <c r="D4" s="1" t="str">
        <f t="shared" si="0"/>
        <v>Discount</v>
      </c>
    </row>
    <row r="5" spans="1:24" ht="24.95" customHeight="1" x14ac:dyDescent="0.25">
      <c r="A5" s="1" t="s">
        <v>11</v>
      </c>
      <c r="B5" s="1">
        <v>3000</v>
      </c>
      <c r="C5" s="1" t="s">
        <v>48</v>
      </c>
      <c r="D5" s="1" t="str">
        <f t="shared" si="0"/>
        <v>No Discount</v>
      </c>
    </row>
    <row r="6" spans="1:24" ht="24.95" customHeight="1" x14ac:dyDescent="0.3">
      <c r="A6" s="1" t="s">
        <v>12</v>
      </c>
      <c r="B6" s="8">
        <v>13688</v>
      </c>
      <c r="C6" s="1" t="s">
        <v>48</v>
      </c>
      <c r="D6" s="1" t="str">
        <f t="shared" si="0"/>
        <v>Discount</v>
      </c>
    </row>
    <row r="7" spans="1:24" ht="24.95" customHeight="1" x14ac:dyDescent="0.3">
      <c r="A7" s="1" t="s">
        <v>13</v>
      </c>
      <c r="B7" s="8">
        <v>11198</v>
      </c>
      <c r="C7" s="1" t="s">
        <v>48</v>
      </c>
      <c r="D7" s="1" t="str">
        <f t="shared" si="0"/>
        <v>Discount</v>
      </c>
    </row>
    <row r="8" spans="1:24" ht="24.95" customHeight="1" x14ac:dyDescent="0.3">
      <c r="A8" s="1" t="s">
        <v>4</v>
      </c>
      <c r="B8" s="8">
        <v>6549</v>
      </c>
      <c r="C8" s="1" t="s">
        <v>47</v>
      </c>
      <c r="D8" s="1" t="str">
        <f t="shared" si="0"/>
        <v>Discount</v>
      </c>
    </row>
    <row r="9" spans="1:24" ht="24.95" customHeight="1" x14ac:dyDescent="0.3">
      <c r="A9" s="1" t="s">
        <v>14</v>
      </c>
      <c r="B9" s="8">
        <v>12706</v>
      </c>
      <c r="C9" s="1" t="s">
        <v>48</v>
      </c>
      <c r="D9" s="1" t="str">
        <f t="shared" si="0"/>
        <v>Discount</v>
      </c>
    </row>
    <row r="10" spans="1:24" ht="24.95" customHeight="1" x14ac:dyDescent="0.3">
      <c r="A10" s="1" t="s">
        <v>15</v>
      </c>
      <c r="B10" s="8">
        <v>10012</v>
      </c>
      <c r="C10" s="1" t="s">
        <v>48</v>
      </c>
      <c r="D10" s="1" t="str">
        <f t="shared" si="0"/>
        <v>Discount</v>
      </c>
      <c r="R10" s="12" t="s">
        <v>49</v>
      </c>
      <c r="S10" s="12"/>
      <c r="T10" s="12"/>
      <c r="U10" s="12"/>
      <c r="V10" s="12"/>
      <c r="W10" s="12"/>
      <c r="X10" s="12"/>
    </row>
    <row r="11" spans="1:24" ht="24.95" customHeight="1" x14ac:dyDescent="0.3">
      <c r="A11" s="1" t="s">
        <v>16</v>
      </c>
      <c r="B11" s="8">
        <v>3214</v>
      </c>
      <c r="C11" s="1" t="s">
        <v>48</v>
      </c>
      <c r="D11" s="1" t="str">
        <f t="shared" si="0"/>
        <v>No Discount</v>
      </c>
    </row>
    <row r="12" spans="1:24" ht="24.95" customHeight="1" x14ac:dyDescent="0.3">
      <c r="A12" s="1" t="s">
        <v>17</v>
      </c>
      <c r="B12" s="8">
        <v>11508</v>
      </c>
      <c r="C12" s="1" t="s">
        <v>47</v>
      </c>
      <c r="D12" s="1" t="str">
        <f t="shared" si="0"/>
        <v>Discount</v>
      </c>
    </row>
    <row r="13" spans="1:24" ht="24.95" customHeight="1" x14ac:dyDescent="0.3">
      <c r="A13" s="1" t="s">
        <v>18</v>
      </c>
      <c r="B13" s="8">
        <v>8597</v>
      </c>
      <c r="C13" s="1" t="s">
        <v>48</v>
      </c>
      <c r="D13" s="1" t="str">
        <f t="shared" si="0"/>
        <v>No Discount</v>
      </c>
    </row>
    <row r="14" spans="1:24" ht="24.95" customHeight="1" x14ac:dyDescent="0.3">
      <c r="A14" s="1" t="s">
        <v>19</v>
      </c>
      <c r="B14" s="8">
        <v>5622</v>
      </c>
      <c r="C14" s="1" t="s">
        <v>47</v>
      </c>
      <c r="D14" s="1" t="str">
        <f t="shared" si="0"/>
        <v>Discount</v>
      </c>
    </row>
    <row r="15" spans="1:24" ht="24.95" customHeight="1" x14ac:dyDescent="0.3">
      <c r="A15" s="1" t="s">
        <v>20</v>
      </c>
      <c r="B15" s="8">
        <v>3655</v>
      </c>
      <c r="C15" s="1" t="s">
        <v>47</v>
      </c>
      <c r="D15" s="1" t="str">
        <f t="shared" si="0"/>
        <v>Discount</v>
      </c>
    </row>
    <row r="16" spans="1:24" ht="24.95" customHeight="1" x14ac:dyDescent="0.3">
      <c r="A16" s="1" t="s">
        <v>21</v>
      </c>
      <c r="B16" s="8">
        <v>10144</v>
      </c>
      <c r="C16" s="1" t="s">
        <v>47</v>
      </c>
      <c r="D16" s="1" t="str">
        <f t="shared" si="0"/>
        <v>Discount</v>
      </c>
    </row>
    <row r="17" spans="1:4" ht="24.95" customHeight="1" x14ac:dyDescent="0.3">
      <c r="A17" s="1" t="s">
        <v>22</v>
      </c>
      <c r="B17" s="8">
        <v>12458</v>
      </c>
      <c r="C17" s="1" t="s">
        <v>48</v>
      </c>
      <c r="D17" s="1" t="str">
        <f t="shared" si="0"/>
        <v>Discount</v>
      </c>
    </row>
    <row r="18" spans="1:4" ht="24.95" customHeight="1" x14ac:dyDescent="0.3">
      <c r="A18" s="1" t="s">
        <v>23</v>
      </c>
      <c r="B18" s="8">
        <v>14941</v>
      </c>
      <c r="C18" s="1" t="s">
        <v>48</v>
      </c>
      <c r="D18" s="1" t="str">
        <f t="shared" si="0"/>
        <v>Discount</v>
      </c>
    </row>
    <row r="19" spans="1:4" ht="24.95" customHeight="1" x14ac:dyDescent="0.3">
      <c r="A19" s="1" t="s">
        <v>24</v>
      </c>
      <c r="B19" s="8">
        <v>12981</v>
      </c>
      <c r="C19" s="1" t="s">
        <v>47</v>
      </c>
      <c r="D19" s="1" t="str">
        <f t="shared" si="0"/>
        <v>Discount</v>
      </c>
    </row>
  </sheetData>
  <mergeCells count="1">
    <mergeCell ref="R10:X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1241-54F4-4811-B813-6AA5A9C4A013}">
  <dimension ref="A1:W19"/>
  <sheetViews>
    <sheetView workbookViewId="0">
      <selection activeCell="A6" sqref="A6:A19"/>
    </sheetView>
  </sheetViews>
  <sheetFormatPr defaultRowHeight="15" x14ac:dyDescent="0.25"/>
  <cols>
    <col min="1" max="1" width="13.140625" customWidth="1"/>
    <col min="4" max="4" width="15.5703125" customWidth="1"/>
  </cols>
  <sheetData>
    <row r="1" spans="1:23" ht="34.5" x14ac:dyDescent="0.25">
      <c r="A1" s="14" t="s">
        <v>57</v>
      </c>
      <c r="B1" s="14" t="s">
        <v>28</v>
      </c>
      <c r="C1" s="14" t="s">
        <v>58</v>
      </c>
      <c r="D1" s="14" t="s">
        <v>59</v>
      </c>
    </row>
    <row r="2" spans="1:23" ht="24.95" customHeight="1" x14ac:dyDescent="0.25">
      <c r="A2" s="1" t="s">
        <v>30</v>
      </c>
      <c r="B2" s="1">
        <v>35000</v>
      </c>
      <c r="C2" s="1">
        <v>720</v>
      </c>
      <c r="D2" s="1" t="str">
        <f>IF(OR(B2&gt;=40000, C2&gt;=700), "Approved", "Not Approved")</f>
        <v>Approved</v>
      </c>
    </row>
    <row r="3" spans="1:23" ht="24.95" customHeight="1" x14ac:dyDescent="0.25">
      <c r="A3" s="1" t="s">
        <v>31</v>
      </c>
      <c r="B3" s="1">
        <v>25000</v>
      </c>
      <c r="C3" s="1">
        <v>680</v>
      </c>
      <c r="D3" s="1" t="str">
        <f t="shared" ref="D3:D19" si="0">IF(OR(B3&gt;=40000, C3&gt;=700), "Approved", "Not Approved")</f>
        <v>Not Approved</v>
      </c>
    </row>
    <row r="4" spans="1:23" ht="24.95" customHeight="1" x14ac:dyDescent="0.25">
      <c r="A4" s="1" t="s">
        <v>32</v>
      </c>
      <c r="B4" s="1">
        <v>50000</v>
      </c>
      <c r="C4" s="1">
        <v>650</v>
      </c>
      <c r="D4" s="1" t="str">
        <f t="shared" si="0"/>
        <v>Approved</v>
      </c>
    </row>
    <row r="5" spans="1:23" ht="24.95" customHeight="1" x14ac:dyDescent="0.25">
      <c r="A5" s="1" t="s">
        <v>33</v>
      </c>
      <c r="B5" s="1">
        <v>20000</v>
      </c>
      <c r="C5" s="1">
        <v>600</v>
      </c>
      <c r="D5" s="1" t="str">
        <f t="shared" si="0"/>
        <v>Not Approved</v>
      </c>
    </row>
    <row r="6" spans="1:23" ht="24.95" customHeight="1" x14ac:dyDescent="0.3">
      <c r="A6" s="1" t="s">
        <v>12</v>
      </c>
      <c r="B6" s="8">
        <v>36087</v>
      </c>
      <c r="C6" s="8">
        <v>709</v>
      </c>
      <c r="D6" s="1" t="str">
        <f t="shared" si="0"/>
        <v>Approved</v>
      </c>
    </row>
    <row r="7" spans="1:23" ht="24.95" customHeight="1" x14ac:dyDescent="0.3">
      <c r="A7" s="1" t="s">
        <v>13</v>
      </c>
      <c r="B7" s="8">
        <v>34594</v>
      </c>
      <c r="C7" s="8">
        <v>677</v>
      </c>
      <c r="D7" s="1" t="str">
        <f t="shared" si="0"/>
        <v>Not Approved</v>
      </c>
    </row>
    <row r="8" spans="1:23" ht="24.95" customHeight="1" x14ac:dyDescent="0.3">
      <c r="A8" s="1" t="s">
        <v>4</v>
      </c>
      <c r="B8" s="8">
        <v>25455</v>
      </c>
      <c r="C8" s="8">
        <v>730</v>
      </c>
      <c r="D8" s="1" t="str">
        <f t="shared" si="0"/>
        <v>Approved</v>
      </c>
    </row>
    <row r="9" spans="1:23" ht="24.95" customHeight="1" x14ac:dyDescent="0.3">
      <c r="A9" s="1" t="s">
        <v>14</v>
      </c>
      <c r="B9" s="8">
        <v>34417</v>
      </c>
      <c r="C9" s="8">
        <v>724</v>
      </c>
      <c r="D9" s="1" t="str">
        <f t="shared" si="0"/>
        <v>Approved</v>
      </c>
    </row>
    <row r="10" spans="1:23" ht="24.95" customHeight="1" x14ac:dyDescent="0.3">
      <c r="A10" s="1" t="s">
        <v>15</v>
      </c>
      <c r="B10" s="8">
        <v>21138</v>
      </c>
      <c r="C10" s="8">
        <v>690</v>
      </c>
      <c r="D10" s="1" t="str">
        <f t="shared" si="0"/>
        <v>Not Approved</v>
      </c>
    </row>
    <row r="11" spans="1:23" ht="24.95" customHeight="1" x14ac:dyDescent="0.3">
      <c r="A11" s="1" t="s">
        <v>16</v>
      </c>
      <c r="B11" s="8">
        <v>47772</v>
      </c>
      <c r="C11" s="8">
        <v>699</v>
      </c>
      <c r="D11" s="1" t="str">
        <f t="shared" si="0"/>
        <v>Approved</v>
      </c>
    </row>
    <row r="12" spans="1:23" ht="24.95" customHeight="1" x14ac:dyDescent="0.3">
      <c r="A12" s="1" t="s">
        <v>17</v>
      </c>
      <c r="B12" s="8">
        <v>31116</v>
      </c>
      <c r="C12" s="8">
        <v>644</v>
      </c>
      <c r="D12" s="1" t="str">
        <f t="shared" si="0"/>
        <v>Not Approved</v>
      </c>
      <c r="R12" s="12" t="s">
        <v>56</v>
      </c>
      <c r="S12" s="12"/>
      <c r="T12" s="12"/>
      <c r="U12" s="12"/>
      <c r="V12" s="12"/>
      <c r="W12" s="12"/>
    </row>
    <row r="13" spans="1:23" ht="24.95" customHeight="1" x14ac:dyDescent="0.3">
      <c r="A13" s="1" t="s">
        <v>18</v>
      </c>
      <c r="B13" s="8">
        <v>33447</v>
      </c>
      <c r="C13" s="8">
        <v>749</v>
      </c>
      <c r="D13" s="1" t="str">
        <f t="shared" si="0"/>
        <v>Approved</v>
      </c>
    </row>
    <row r="14" spans="1:23" ht="24.95" customHeight="1" x14ac:dyDescent="0.3">
      <c r="A14" s="1" t="s">
        <v>19</v>
      </c>
      <c r="B14" s="8">
        <v>37808</v>
      </c>
      <c r="C14" s="8">
        <v>625</v>
      </c>
      <c r="D14" s="1" t="str">
        <f t="shared" si="0"/>
        <v>Not Approved</v>
      </c>
    </row>
    <row r="15" spans="1:23" ht="24.95" customHeight="1" x14ac:dyDescent="0.3">
      <c r="A15" s="1" t="s">
        <v>20</v>
      </c>
      <c r="B15" s="8">
        <v>34454</v>
      </c>
      <c r="C15" s="8">
        <v>745</v>
      </c>
      <c r="D15" s="1" t="str">
        <f t="shared" si="0"/>
        <v>Approved</v>
      </c>
    </row>
    <row r="16" spans="1:23" ht="24.95" customHeight="1" x14ac:dyDescent="0.3">
      <c r="A16" s="1" t="s">
        <v>21</v>
      </c>
      <c r="B16" s="8">
        <v>40374</v>
      </c>
      <c r="C16" s="8">
        <v>717</v>
      </c>
      <c r="D16" s="1" t="str">
        <f t="shared" si="0"/>
        <v>Approved</v>
      </c>
    </row>
    <row r="17" spans="1:4" ht="24.95" customHeight="1" x14ac:dyDescent="0.3">
      <c r="A17" s="1" t="s">
        <v>22</v>
      </c>
      <c r="B17" s="8">
        <v>27855</v>
      </c>
      <c r="C17" s="8">
        <v>602</v>
      </c>
      <c r="D17" s="1" t="str">
        <f t="shared" si="0"/>
        <v>Not Approved</v>
      </c>
    </row>
    <row r="18" spans="1:4" ht="24.95" customHeight="1" x14ac:dyDescent="0.3">
      <c r="A18" s="1" t="s">
        <v>23</v>
      </c>
      <c r="B18" s="8">
        <v>20535</v>
      </c>
      <c r="C18" s="8">
        <v>692</v>
      </c>
      <c r="D18" s="1" t="str">
        <f t="shared" si="0"/>
        <v>Not Approved</v>
      </c>
    </row>
    <row r="19" spans="1:4" ht="24.95" customHeight="1" x14ac:dyDescent="0.3">
      <c r="A19" s="1" t="s">
        <v>24</v>
      </c>
      <c r="B19" s="8">
        <v>25656</v>
      </c>
      <c r="C19" s="8">
        <v>627</v>
      </c>
      <c r="D19" s="1" t="str">
        <f t="shared" si="0"/>
        <v>Not Approved</v>
      </c>
    </row>
  </sheetData>
  <mergeCells count="1">
    <mergeCell ref="R12:W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F941-E55E-451D-B273-7779F004DCC7}">
  <dimension ref="A1:X19"/>
  <sheetViews>
    <sheetView workbookViewId="0">
      <selection activeCell="M15" sqref="M15"/>
    </sheetView>
  </sheetViews>
  <sheetFormatPr defaultRowHeight="15" x14ac:dyDescent="0.25"/>
  <cols>
    <col min="2" max="2" width="11.42578125" customWidth="1"/>
    <col min="3" max="3" width="11.140625" customWidth="1"/>
  </cols>
  <sheetData>
    <row r="1" spans="1:24" ht="34.5" x14ac:dyDescent="0.25">
      <c r="A1" s="14" t="s">
        <v>40</v>
      </c>
      <c r="B1" s="14" t="s">
        <v>62</v>
      </c>
      <c r="C1" s="14" t="s">
        <v>63</v>
      </c>
    </row>
    <row r="2" spans="1:24" ht="24.95" customHeight="1" x14ac:dyDescent="0.25">
      <c r="A2" s="4" t="s">
        <v>4</v>
      </c>
      <c r="B2" s="4" t="b">
        <v>1</v>
      </c>
      <c r="C2" s="4" t="str">
        <f>IF(NOT(B2),"Absent", "Present")</f>
        <v>Present</v>
      </c>
    </row>
    <row r="3" spans="1:24" ht="24.95" customHeight="1" x14ac:dyDescent="0.25">
      <c r="A3" s="4" t="s">
        <v>5</v>
      </c>
      <c r="B3" s="4" t="b">
        <v>0</v>
      </c>
      <c r="C3" s="4" t="str">
        <f t="shared" ref="C3:C19" si="0">IF(NOT(B3),"Absent", "Present")</f>
        <v>Absent</v>
      </c>
    </row>
    <row r="4" spans="1:24" ht="24.95" customHeight="1" x14ac:dyDescent="0.25">
      <c r="A4" s="4" t="s">
        <v>6</v>
      </c>
      <c r="B4" s="4" t="b">
        <v>1</v>
      </c>
      <c r="C4" s="4" t="str">
        <f t="shared" si="0"/>
        <v>Present</v>
      </c>
    </row>
    <row r="5" spans="1:24" ht="24.95" customHeight="1" x14ac:dyDescent="0.25">
      <c r="A5" s="4" t="s">
        <v>7</v>
      </c>
      <c r="B5" s="4" t="b">
        <v>0</v>
      </c>
      <c r="C5" s="4" t="str">
        <f t="shared" si="0"/>
        <v>Absent</v>
      </c>
    </row>
    <row r="6" spans="1:24" ht="24.95" customHeight="1" x14ac:dyDescent="0.25">
      <c r="A6" s="1" t="s">
        <v>12</v>
      </c>
      <c r="B6" s="4" t="b">
        <v>1</v>
      </c>
      <c r="C6" s="4" t="str">
        <f t="shared" si="0"/>
        <v>Present</v>
      </c>
    </row>
    <row r="7" spans="1:24" ht="24.95" customHeight="1" x14ac:dyDescent="0.25">
      <c r="A7" s="1" t="s">
        <v>13</v>
      </c>
      <c r="B7" s="4" t="b">
        <v>0</v>
      </c>
      <c r="C7" s="4" t="str">
        <f t="shared" si="0"/>
        <v>Absent</v>
      </c>
    </row>
    <row r="8" spans="1:24" ht="24.95" customHeight="1" x14ac:dyDescent="0.25">
      <c r="A8" s="1" t="s">
        <v>4</v>
      </c>
      <c r="B8" s="4" t="b">
        <v>1</v>
      </c>
      <c r="C8" s="4" t="str">
        <f t="shared" si="0"/>
        <v>Present</v>
      </c>
    </row>
    <row r="9" spans="1:24" ht="24.95" customHeight="1" x14ac:dyDescent="0.25">
      <c r="A9" s="1" t="s">
        <v>14</v>
      </c>
      <c r="B9" s="4" t="b">
        <v>0</v>
      </c>
      <c r="C9" s="4" t="str">
        <f t="shared" si="0"/>
        <v>Absent</v>
      </c>
    </row>
    <row r="10" spans="1:24" ht="24.95" customHeight="1" x14ac:dyDescent="0.25">
      <c r="A10" s="1" t="s">
        <v>15</v>
      </c>
      <c r="B10" s="4" t="b">
        <v>1</v>
      </c>
      <c r="C10" s="4" t="str">
        <f t="shared" si="0"/>
        <v>Present</v>
      </c>
    </row>
    <row r="11" spans="1:24" ht="24.95" customHeight="1" x14ac:dyDescent="0.25">
      <c r="A11" s="1" t="s">
        <v>16</v>
      </c>
      <c r="B11" s="4" t="b">
        <v>0</v>
      </c>
      <c r="C11" s="4" t="str">
        <f t="shared" si="0"/>
        <v>Absent</v>
      </c>
      <c r="T11" s="12" t="s">
        <v>60</v>
      </c>
      <c r="U11" s="12"/>
      <c r="V11" s="12"/>
      <c r="W11" s="12"/>
      <c r="X11" s="12"/>
    </row>
    <row r="12" spans="1:24" ht="24.95" customHeight="1" x14ac:dyDescent="0.25">
      <c r="A12" s="1" t="s">
        <v>17</v>
      </c>
      <c r="B12" s="4" t="b">
        <v>1</v>
      </c>
      <c r="C12" s="4" t="str">
        <f t="shared" si="0"/>
        <v>Present</v>
      </c>
      <c r="T12" s="12" t="s">
        <v>61</v>
      </c>
      <c r="U12" s="12"/>
      <c r="V12" s="12"/>
      <c r="W12" s="12"/>
      <c r="X12" s="12"/>
    </row>
    <row r="13" spans="1:24" ht="24.95" customHeight="1" x14ac:dyDescent="0.25">
      <c r="A13" s="1" t="s">
        <v>18</v>
      </c>
      <c r="B13" s="4" t="b">
        <v>0</v>
      </c>
      <c r="C13" s="4" t="str">
        <f t="shared" si="0"/>
        <v>Absent</v>
      </c>
    </row>
    <row r="14" spans="1:24" ht="24.95" customHeight="1" x14ac:dyDescent="0.25">
      <c r="A14" s="1" t="s">
        <v>19</v>
      </c>
      <c r="B14" s="4" t="b">
        <v>1</v>
      </c>
      <c r="C14" s="4" t="str">
        <f t="shared" si="0"/>
        <v>Present</v>
      </c>
    </row>
    <row r="15" spans="1:24" ht="24.95" customHeight="1" x14ac:dyDescent="0.25">
      <c r="A15" s="1" t="s">
        <v>20</v>
      </c>
      <c r="B15" s="4" t="b">
        <v>0</v>
      </c>
      <c r="C15" s="4" t="str">
        <f t="shared" si="0"/>
        <v>Absent</v>
      </c>
    </row>
    <row r="16" spans="1:24" ht="24.95" customHeight="1" x14ac:dyDescent="0.25">
      <c r="A16" s="1" t="s">
        <v>21</v>
      </c>
      <c r="B16" s="4" t="b">
        <v>1</v>
      </c>
      <c r="C16" s="4" t="str">
        <f t="shared" si="0"/>
        <v>Present</v>
      </c>
    </row>
    <row r="17" spans="1:3" ht="24.95" customHeight="1" x14ac:dyDescent="0.25">
      <c r="A17" s="1" t="s">
        <v>22</v>
      </c>
      <c r="B17" s="4" t="b">
        <v>0</v>
      </c>
      <c r="C17" s="4" t="str">
        <f t="shared" si="0"/>
        <v>Absent</v>
      </c>
    </row>
    <row r="18" spans="1:3" ht="24.95" customHeight="1" x14ac:dyDescent="0.25">
      <c r="A18" s="1" t="s">
        <v>23</v>
      </c>
      <c r="B18" s="4" t="b">
        <v>1</v>
      </c>
      <c r="C18" s="4" t="str">
        <f t="shared" si="0"/>
        <v>Present</v>
      </c>
    </row>
    <row r="19" spans="1:3" ht="24.95" customHeight="1" x14ac:dyDescent="0.25">
      <c r="A19" s="1" t="s">
        <v>24</v>
      </c>
      <c r="B19" s="4" t="b">
        <v>0</v>
      </c>
      <c r="C19" s="4" t="str">
        <f t="shared" si="0"/>
        <v>Absent</v>
      </c>
    </row>
  </sheetData>
  <mergeCells count="2">
    <mergeCell ref="T11:X11"/>
    <mergeCell ref="T12:X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AC19-30BD-4120-9D3E-869E4EA664E9}">
  <dimension ref="A1:X17"/>
  <sheetViews>
    <sheetView workbookViewId="0">
      <selection activeCell="G19" sqref="G19"/>
    </sheetView>
  </sheetViews>
  <sheetFormatPr defaultRowHeight="15" x14ac:dyDescent="0.25"/>
  <cols>
    <col min="1" max="1" width="14" customWidth="1"/>
    <col min="2" max="2" width="15.7109375" customWidth="1"/>
    <col min="3" max="3" width="11.42578125" customWidth="1"/>
  </cols>
  <sheetData>
    <row r="1" spans="1:24" ht="17.25" x14ac:dyDescent="0.25">
      <c r="A1" s="16" t="s">
        <v>66</v>
      </c>
      <c r="B1" s="16" t="s">
        <v>67</v>
      </c>
      <c r="C1" s="16" t="s">
        <v>3</v>
      </c>
    </row>
    <row r="2" spans="1:24" ht="17.25" x14ac:dyDescent="0.25">
      <c r="A2" s="17">
        <v>10</v>
      </c>
      <c r="B2" s="17">
        <v>2</v>
      </c>
      <c r="C2" s="17">
        <f>IFERROR(A2/B2, "invalid")</f>
        <v>5</v>
      </c>
    </row>
    <row r="3" spans="1:24" ht="17.25" x14ac:dyDescent="0.25">
      <c r="A3" s="17">
        <v>15</v>
      </c>
      <c r="B3" s="17">
        <v>0</v>
      </c>
      <c r="C3" s="17" t="str">
        <f t="shared" ref="C3:C17" si="0">IFERROR(A3/B3, "invalid")</f>
        <v>invalid</v>
      </c>
    </row>
    <row r="4" spans="1:24" ht="17.25" x14ac:dyDescent="0.25">
      <c r="A4" s="17">
        <v>20</v>
      </c>
      <c r="B4" s="17">
        <v>5</v>
      </c>
      <c r="C4" s="17">
        <f t="shared" si="0"/>
        <v>4</v>
      </c>
    </row>
    <row r="5" spans="1:24" ht="17.25" x14ac:dyDescent="0.25">
      <c r="A5" s="17">
        <v>8</v>
      </c>
      <c r="B5" s="17">
        <v>0</v>
      </c>
      <c r="C5" s="17" t="str">
        <f t="shared" si="0"/>
        <v>invalid</v>
      </c>
    </row>
    <row r="6" spans="1:24" ht="17.25" x14ac:dyDescent="0.25">
      <c r="A6" s="17">
        <v>10</v>
      </c>
      <c r="B6" s="17">
        <v>2</v>
      </c>
      <c r="C6" s="17">
        <f t="shared" si="0"/>
        <v>5</v>
      </c>
    </row>
    <row r="7" spans="1:24" ht="17.25" x14ac:dyDescent="0.25">
      <c r="A7" s="17">
        <v>15</v>
      </c>
      <c r="B7" s="17">
        <v>0</v>
      </c>
      <c r="C7" s="17" t="str">
        <f t="shared" si="0"/>
        <v>invalid</v>
      </c>
    </row>
    <row r="8" spans="1:24" ht="17.25" x14ac:dyDescent="0.25">
      <c r="A8" s="17">
        <v>20</v>
      </c>
      <c r="B8" s="17">
        <v>5</v>
      </c>
      <c r="C8" s="17">
        <f t="shared" si="0"/>
        <v>4</v>
      </c>
    </row>
    <row r="9" spans="1:24" ht="17.25" x14ac:dyDescent="0.25">
      <c r="A9" s="17">
        <v>8</v>
      </c>
      <c r="B9" s="17">
        <v>0</v>
      </c>
      <c r="C9" s="17" t="str">
        <f t="shared" si="0"/>
        <v>invalid</v>
      </c>
    </row>
    <row r="10" spans="1:24" ht="17.25" x14ac:dyDescent="0.25">
      <c r="A10" s="17">
        <v>10</v>
      </c>
      <c r="B10" s="17">
        <v>2</v>
      </c>
      <c r="C10" s="17">
        <f t="shared" si="0"/>
        <v>5</v>
      </c>
    </row>
    <row r="11" spans="1:24" ht="20.100000000000001" customHeight="1" x14ac:dyDescent="0.25">
      <c r="A11" s="17">
        <v>15</v>
      </c>
      <c r="B11" s="17">
        <v>0</v>
      </c>
      <c r="C11" s="17" t="str">
        <f t="shared" si="0"/>
        <v>invalid</v>
      </c>
      <c r="T11" s="15" t="s">
        <v>64</v>
      </c>
      <c r="U11" s="15"/>
      <c r="V11" s="15"/>
      <c r="W11" s="15"/>
      <c r="X11" s="15"/>
    </row>
    <row r="12" spans="1:24" ht="20.100000000000001" customHeight="1" x14ac:dyDescent="0.25">
      <c r="A12" s="17">
        <v>20</v>
      </c>
      <c r="B12" s="17">
        <v>5</v>
      </c>
      <c r="C12" s="17">
        <f t="shared" si="0"/>
        <v>4</v>
      </c>
      <c r="T12" s="15" t="s">
        <v>65</v>
      </c>
      <c r="U12" s="15"/>
      <c r="V12" s="15"/>
      <c r="W12" s="15"/>
      <c r="X12" s="15"/>
    </row>
    <row r="13" spans="1:24" ht="17.25" x14ac:dyDescent="0.25">
      <c r="A13" s="17">
        <v>8</v>
      </c>
      <c r="B13" s="17">
        <v>2</v>
      </c>
      <c r="C13" s="17">
        <f t="shared" si="0"/>
        <v>4</v>
      </c>
    </row>
    <row r="14" spans="1:24" ht="17.25" x14ac:dyDescent="0.25">
      <c r="A14" s="17">
        <v>10</v>
      </c>
      <c r="B14" s="17">
        <v>0</v>
      </c>
      <c r="C14" s="17" t="str">
        <f t="shared" si="0"/>
        <v>invalid</v>
      </c>
    </row>
    <row r="15" spans="1:24" ht="17.25" x14ac:dyDescent="0.25">
      <c r="A15" s="17">
        <v>15</v>
      </c>
      <c r="B15" s="17">
        <v>5</v>
      </c>
      <c r="C15" s="17">
        <f t="shared" si="0"/>
        <v>3</v>
      </c>
    </row>
    <row r="16" spans="1:24" ht="17.25" x14ac:dyDescent="0.25">
      <c r="A16" s="17">
        <v>20</v>
      </c>
      <c r="B16" s="17">
        <v>2</v>
      </c>
      <c r="C16" s="17">
        <f t="shared" si="0"/>
        <v>10</v>
      </c>
    </row>
    <row r="17" spans="1:3" ht="17.25" x14ac:dyDescent="0.25">
      <c r="A17" s="17">
        <v>8</v>
      </c>
      <c r="B17" s="17">
        <v>0</v>
      </c>
      <c r="C17" s="17" t="str">
        <f t="shared" si="0"/>
        <v>invalid</v>
      </c>
    </row>
  </sheetData>
  <mergeCells count="2">
    <mergeCell ref="T11:X11"/>
    <mergeCell ref="T12:X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5536-14F6-4F2A-9F3F-573E0E8E4F9B}">
  <dimension ref="A1:Y19"/>
  <sheetViews>
    <sheetView tabSelected="1" workbookViewId="0">
      <selection activeCell="K10" sqref="K10"/>
    </sheetView>
  </sheetViews>
  <sheetFormatPr defaultRowHeight="15" x14ac:dyDescent="0.25"/>
  <cols>
    <col min="1" max="3" width="15.7109375" customWidth="1"/>
    <col min="4" max="4" width="21.42578125" customWidth="1"/>
  </cols>
  <sheetData>
    <row r="1" spans="1:25" ht="34.5" x14ac:dyDescent="0.25">
      <c r="A1" s="16" t="s">
        <v>27</v>
      </c>
      <c r="B1" s="16" t="s">
        <v>71</v>
      </c>
      <c r="C1" s="16" t="s">
        <v>45</v>
      </c>
      <c r="D1" s="16" t="s">
        <v>72</v>
      </c>
    </row>
    <row r="2" spans="1:25" ht="30" customHeight="1" x14ac:dyDescent="0.25">
      <c r="A2" s="18" t="s">
        <v>22</v>
      </c>
      <c r="B2" s="17">
        <v>45</v>
      </c>
      <c r="C2" s="17">
        <v>92</v>
      </c>
      <c r="D2" s="17" t="str">
        <f>IF(AND(C2&gt;=90,B2&gt;=40), "Excellent", IF(C2&gt;=80, "Good", "Needs Improvemen"))</f>
        <v>Excellent</v>
      </c>
    </row>
    <row r="3" spans="1:25" ht="30" customHeight="1" x14ac:dyDescent="0.25">
      <c r="A3" s="18" t="s">
        <v>73</v>
      </c>
      <c r="B3" s="17">
        <v>38</v>
      </c>
      <c r="C3" s="17">
        <v>85</v>
      </c>
      <c r="D3" s="17" t="str">
        <f t="shared" ref="D3:D19" si="0">IF(AND(C3&gt;=90,B3&gt;=40), "Excellent", IF(C3&gt;=80, "Good", "Needs Improvemen"))</f>
        <v>Good</v>
      </c>
    </row>
    <row r="4" spans="1:25" ht="30" customHeight="1" x14ac:dyDescent="0.25">
      <c r="A4" s="18" t="s">
        <v>14</v>
      </c>
      <c r="B4" s="17">
        <v>50</v>
      </c>
      <c r="C4" s="17">
        <v>95</v>
      </c>
      <c r="D4" s="17" t="str">
        <f t="shared" si="0"/>
        <v>Excellent</v>
      </c>
    </row>
    <row r="5" spans="1:25" ht="30" customHeight="1" x14ac:dyDescent="0.25">
      <c r="A5" s="18" t="s">
        <v>74</v>
      </c>
      <c r="B5" s="17">
        <v>30</v>
      </c>
      <c r="C5" s="17">
        <v>70</v>
      </c>
      <c r="D5" s="17" t="str">
        <f t="shared" si="0"/>
        <v>Needs Improvemen</v>
      </c>
    </row>
    <row r="6" spans="1:25" ht="30" customHeight="1" x14ac:dyDescent="0.25">
      <c r="A6" s="18" t="s">
        <v>12</v>
      </c>
      <c r="B6" s="17">
        <v>45</v>
      </c>
      <c r="C6" s="17">
        <v>92</v>
      </c>
      <c r="D6" s="17" t="str">
        <f t="shared" si="0"/>
        <v>Excellent</v>
      </c>
    </row>
    <row r="7" spans="1:25" ht="30" customHeight="1" x14ac:dyDescent="0.25">
      <c r="A7" s="18" t="s">
        <v>13</v>
      </c>
      <c r="B7" s="17">
        <v>38</v>
      </c>
      <c r="C7" s="17">
        <v>85</v>
      </c>
      <c r="D7" s="17" t="str">
        <f t="shared" si="0"/>
        <v>Good</v>
      </c>
    </row>
    <row r="8" spans="1:25" ht="30" customHeight="1" x14ac:dyDescent="0.25">
      <c r="A8" s="18" t="s">
        <v>4</v>
      </c>
      <c r="B8" s="17">
        <v>50</v>
      </c>
      <c r="C8" s="17">
        <v>95</v>
      </c>
      <c r="D8" s="17" t="str">
        <f t="shared" si="0"/>
        <v>Excellent</v>
      </c>
    </row>
    <row r="9" spans="1:25" ht="30" customHeight="1" x14ac:dyDescent="0.25">
      <c r="A9" s="18" t="s">
        <v>14</v>
      </c>
      <c r="B9" s="17">
        <v>30</v>
      </c>
      <c r="C9" s="17">
        <v>70</v>
      </c>
      <c r="D9" s="17" t="str">
        <f t="shared" si="0"/>
        <v>Needs Improvemen</v>
      </c>
    </row>
    <row r="10" spans="1:25" ht="30" customHeight="1" x14ac:dyDescent="0.25">
      <c r="A10" s="18" t="s">
        <v>15</v>
      </c>
      <c r="B10" s="17">
        <v>45</v>
      </c>
      <c r="C10" s="17">
        <v>92</v>
      </c>
      <c r="D10" s="17" t="str">
        <f t="shared" si="0"/>
        <v>Excellent</v>
      </c>
    </row>
    <row r="11" spans="1:25" ht="30" customHeight="1" x14ac:dyDescent="0.25">
      <c r="A11" s="18" t="s">
        <v>16</v>
      </c>
      <c r="B11" s="17">
        <v>38</v>
      </c>
      <c r="C11" s="17">
        <v>85</v>
      </c>
      <c r="D11" s="17" t="str">
        <f t="shared" si="0"/>
        <v>Good</v>
      </c>
    </row>
    <row r="12" spans="1:25" ht="30" customHeight="1" x14ac:dyDescent="0.25">
      <c r="A12" s="18" t="s">
        <v>17</v>
      </c>
      <c r="B12" s="17">
        <v>50</v>
      </c>
      <c r="C12" s="17">
        <v>95</v>
      </c>
      <c r="D12" s="17" t="str">
        <f t="shared" si="0"/>
        <v>Excellent</v>
      </c>
      <c r="T12" s="12" t="s">
        <v>68</v>
      </c>
      <c r="U12" s="12"/>
      <c r="V12" s="12"/>
      <c r="W12" s="12"/>
      <c r="X12" s="12"/>
      <c r="Y12" s="12"/>
    </row>
    <row r="13" spans="1:25" ht="30" customHeight="1" x14ac:dyDescent="0.25">
      <c r="A13" s="18" t="s">
        <v>18</v>
      </c>
      <c r="B13" s="17">
        <v>30</v>
      </c>
      <c r="C13" s="17">
        <v>70</v>
      </c>
      <c r="D13" s="17" t="str">
        <f t="shared" si="0"/>
        <v>Needs Improvemen</v>
      </c>
      <c r="T13" s="12" t="s">
        <v>69</v>
      </c>
      <c r="U13" s="12"/>
      <c r="V13" s="12"/>
      <c r="W13" s="12"/>
      <c r="X13" s="12"/>
      <c r="Y13" s="12"/>
    </row>
    <row r="14" spans="1:25" ht="30" customHeight="1" x14ac:dyDescent="0.25">
      <c r="A14" s="18" t="s">
        <v>19</v>
      </c>
      <c r="B14" s="17">
        <v>45</v>
      </c>
      <c r="C14" s="17">
        <v>92</v>
      </c>
      <c r="D14" s="17" t="str">
        <f t="shared" si="0"/>
        <v>Excellent</v>
      </c>
      <c r="T14" s="12" t="s">
        <v>70</v>
      </c>
      <c r="U14" s="12"/>
      <c r="V14" s="12"/>
      <c r="W14" s="12"/>
      <c r="X14" s="12"/>
      <c r="Y14" s="12"/>
    </row>
    <row r="15" spans="1:25" ht="30" customHeight="1" x14ac:dyDescent="0.25">
      <c r="A15" s="18" t="s">
        <v>20</v>
      </c>
      <c r="B15" s="17">
        <v>38</v>
      </c>
      <c r="C15" s="17">
        <v>85</v>
      </c>
      <c r="D15" s="17" t="str">
        <f t="shared" si="0"/>
        <v>Good</v>
      </c>
    </row>
    <row r="16" spans="1:25" ht="30" customHeight="1" x14ac:dyDescent="0.25">
      <c r="A16" s="18" t="s">
        <v>21</v>
      </c>
      <c r="B16" s="17">
        <v>50</v>
      </c>
      <c r="C16" s="17">
        <v>95</v>
      </c>
      <c r="D16" s="17" t="str">
        <f t="shared" si="0"/>
        <v>Excellent</v>
      </c>
    </row>
    <row r="17" spans="1:4" ht="30" customHeight="1" x14ac:dyDescent="0.25">
      <c r="A17" s="18" t="s">
        <v>22</v>
      </c>
      <c r="B17" s="17">
        <v>30</v>
      </c>
      <c r="C17" s="17">
        <v>70</v>
      </c>
      <c r="D17" s="17" t="str">
        <f t="shared" si="0"/>
        <v>Needs Improvemen</v>
      </c>
    </row>
    <row r="18" spans="1:4" ht="30" customHeight="1" x14ac:dyDescent="0.25">
      <c r="A18" s="18" t="s">
        <v>23</v>
      </c>
      <c r="B18" s="17">
        <v>45</v>
      </c>
      <c r="C18" s="17">
        <v>92</v>
      </c>
      <c r="D18" s="17" t="str">
        <f t="shared" si="0"/>
        <v>Excellent</v>
      </c>
    </row>
    <row r="19" spans="1:4" ht="30" customHeight="1" x14ac:dyDescent="0.25">
      <c r="A19" s="18" t="s">
        <v>24</v>
      </c>
      <c r="B19" s="17">
        <v>38</v>
      </c>
      <c r="C19" s="17">
        <v>85</v>
      </c>
      <c r="D19" s="17" t="str">
        <f t="shared" si="0"/>
        <v>Good</v>
      </c>
    </row>
  </sheetData>
  <mergeCells count="3">
    <mergeCell ref="T12:Y12"/>
    <mergeCell ref="T13:Y13"/>
    <mergeCell ref="T14:Y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2026-01-25T06:27:00Z</dcterms:created>
  <dcterms:modified xsi:type="dcterms:W3CDTF">2026-01-25T08:12:18Z</dcterms:modified>
</cp:coreProperties>
</file>