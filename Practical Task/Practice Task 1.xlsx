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4\Desktop\Github\Data-Analytics\Practical Task\"/>
    </mc:Choice>
  </mc:AlternateContent>
  <xr:revisionPtr revIDLastSave="0" documentId="13_ncr:1_{91D40461-4F44-4C9F-A69E-32EE623CCDDD}" xr6:coauthVersionLast="47" xr6:coauthVersionMax="47" xr10:uidLastSave="{00000000-0000-0000-0000-000000000000}"/>
  <bookViews>
    <workbookView xWindow="-120" yWindow="-120" windowWidth="29040" windowHeight="15720" activeTab="5" xr2:uid="{ADEC1CF0-A24E-4230-93CD-FFE386E6651D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  <sheet name="Task 9" sheetId="9" r:id="rId9"/>
    <sheet name="Task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9" l="1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7" i="9"/>
  <c r="D24" i="7"/>
  <c r="D23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" i="6"/>
  <c r="D27" i="5"/>
  <c r="D26" i="5"/>
  <c r="D25" i="5"/>
  <c r="D24" i="5"/>
  <c r="D23" i="5"/>
  <c r="B26" i="4"/>
  <c r="B25" i="4"/>
  <c r="B24" i="4"/>
  <c r="B23" i="4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4" i="3"/>
  <c r="G5" i="3"/>
  <c r="G6" i="3"/>
  <c r="G3" i="3"/>
  <c r="G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A12" i="2"/>
  <c r="A14" i="2" s="1"/>
  <c r="A16" i="2" s="1"/>
  <c r="A8" i="2"/>
  <c r="A10" i="2" s="1"/>
  <c r="A7" i="2"/>
  <c r="A9" i="2" s="1"/>
  <c r="A11" i="2" l="1"/>
  <c r="A13" i="2" s="1"/>
  <c r="A15" i="2" s="1"/>
  <c r="A17" i="2" s="1"/>
  <c r="A18" i="2"/>
</calcChain>
</file>

<file path=xl/sharedStrings.xml><?xml version="1.0" encoding="utf-8"?>
<sst xmlns="http://schemas.openxmlformats.org/spreadsheetml/2006/main" count="488" uniqueCount="215">
  <si>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</si>
  <si>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</si>
  <si>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</si>
  <si>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</si>
  <si>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</si>
  <si>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</si>
  <si>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</si>
  <si>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</si>
  <si>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</si>
  <si>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</si>
  <si>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</si>
  <si>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</si>
  <si>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</si>
  <si>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</si>
  <si>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</si>
  <si>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</si>
  <si>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</si>
  <si>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</si>
  <si>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</si>
  <si>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</si>
  <si>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</si>
  <si>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</si>
  <si>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</si>
  <si>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</si>
  <si>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</si>
  <si>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</si>
  <si>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</si>
  <si>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</si>
  <si>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</si>
  <si>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</si>
  <si>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</si>
  <si>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</si>
  <si>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</si>
  <si>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</si>
  <si>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Jyoti Patel</t>
  </si>
  <si>
    <t>Jiya Patel</t>
  </si>
  <si>
    <t>Jay Tripathi</t>
  </si>
  <si>
    <t>Shivam Soni</t>
  </si>
  <si>
    <t>Om Thakkar</t>
  </si>
  <si>
    <t>Sanjay Rawal</t>
  </si>
  <si>
    <t>Nisarg Patel</t>
  </si>
  <si>
    <t>Rudhra Joshi</t>
  </si>
  <si>
    <t>Kavya Mehta</t>
  </si>
  <si>
    <t>Juhi Chawla</t>
  </si>
  <si>
    <t>Kinnari Soni</t>
  </si>
  <si>
    <t>Silky Parikh</t>
  </si>
  <si>
    <t>Bhumi Shah</t>
  </si>
  <si>
    <t>Komal Patel</t>
  </si>
  <si>
    <t>Nilesh Panchal</t>
  </si>
  <si>
    <t>Task</t>
  </si>
  <si>
    <t>Format header row (Bold, Color)</t>
  </si>
  <si>
    <t>Salary → Currency (₹)</t>
  </si>
  <si>
    <t>Date → Date format</t>
  </si>
  <si>
    <t>Apply borders and auto-fit columns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</si>
  <si>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</si>
  <si>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</si>
  <si>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</si>
  <si>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</si>
  <si>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</si>
  <si>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</si>
  <si>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</si>
  <si>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</si>
  <si>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</si>
  <si>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</si>
  <si>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</si>
  <si>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</si>
  <si>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</si>
  <si>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</si>
  <si>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</si>
  <si>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</si>
  <si>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</si>
  <si>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Jyoti</t>
  </si>
  <si>
    <t>Nisarg</t>
  </si>
  <si>
    <t>Shivam</t>
  </si>
  <si>
    <t>Om</t>
  </si>
  <si>
    <t>Vishal</t>
  </si>
  <si>
    <t>Naresh</t>
  </si>
  <si>
    <t>Sunil</t>
  </si>
  <si>
    <t>Abhishek</t>
  </si>
  <si>
    <t>Nayan</t>
  </si>
  <si>
    <t>Raj</t>
  </si>
  <si>
    <t>Megha</t>
  </si>
  <si>
    <t>Juli</t>
  </si>
  <si>
    <t>Merge &amp; center title</t>
  </si>
  <si>
    <t>Wrap text for product names</t>
  </si>
  <si>
    <t>Currency format for sales</t>
  </si>
  <si>
    <r>
      <t>Add title </t>
    </r>
    <r>
      <rPr>
        <sz val="12"/>
        <color theme="1"/>
        <rFont val="Segoe UI"/>
        <family val="2"/>
      </rPr>
      <t>Monthly Sales Report</t>
    </r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</si>
  <si>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</si>
  <si>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</si>
  <si>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</si>
  <si>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</si>
  <si>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</si>
  <si>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</si>
  <si>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</si>
  <si>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</si>
  <si>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</si>
  <si>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</si>
  <si>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</si>
  <si>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Leela</t>
  </si>
  <si>
    <t>Meena</t>
  </si>
  <si>
    <t>Rohan</t>
  </si>
  <si>
    <t>Manoj</t>
  </si>
  <si>
    <t>Saroj</t>
  </si>
  <si>
    <t>Shyam</t>
  </si>
  <si>
    <t>Nik</t>
  </si>
  <si>
    <t>Jon</t>
  </si>
  <si>
    <t>Jeel</t>
  </si>
  <si>
    <t>Meet</t>
  </si>
  <si>
    <t>Prem</t>
  </si>
  <si>
    <t>Total</t>
  </si>
  <si>
    <t>Calculate Percentage</t>
  </si>
  <si>
    <t>Format percentage column</t>
  </si>
  <si>
    <t>Apply cell styles to headers</t>
  </si>
  <si>
    <t>Calculate Total Sales</t>
  </si>
  <si>
    <t>Find Average Sales</t>
  </si>
  <si>
    <t>Identify Highest &amp; Lowest Sale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</si>
  <si>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</si>
  <si>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</si>
  <si>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</si>
  <si>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</si>
  <si>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</si>
  <si>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</si>
  <si>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</si>
  <si>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</si>
  <si>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</si>
  <si>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</si>
  <si>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</si>
  <si>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</si>
  <si>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</si>
  <si>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</si>
  <si>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</si>
  <si>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</si>
  <si>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</si>
  <si>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</si>
  <si>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</si>
  <si>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</si>
  <si>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</si>
  <si>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</si>
  <si>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</t>
  </si>
  <si>
    <t>Total Average</t>
  </si>
  <si>
    <t>Highest Sale</t>
  </si>
  <si>
    <t>Lowest Sale</t>
  </si>
  <si>
    <t>Total salary per department</t>
  </si>
  <si>
    <t>Average salary</t>
  </si>
  <si>
    <t>Count employees</t>
  </si>
  <si>
    <t>Employee Name</t>
  </si>
  <si>
    <t>Suresh</t>
  </si>
  <si>
    <t>Karan</t>
  </si>
  <si>
    <t>Ritu</t>
  </si>
  <si>
    <t>Aman</t>
  </si>
  <si>
    <t>Neel</t>
  </si>
  <si>
    <t>Total Salary Fin.Div</t>
  </si>
  <si>
    <t>Total Salary HR Div</t>
  </si>
  <si>
    <t>Total Salary IT Div</t>
  </si>
  <si>
    <t>Average Salary</t>
  </si>
  <si>
    <t>Count Present days</t>
  </si>
  <si>
    <t>Count Absent days</t>
  </si>
  <si>
    <t>Day 1</t>
  </si>
  <si>
    <t>Day 2</t>
  </si>
  <si>
    <t>Day 3</t>
  </si>
  <si>
    <t>Day 4</t>
  </si>
  <si>
    <t>Day 5</t>
  </si>
  <si>
    <t>P</t>
  </si>
  <si>
    <t>A</t>
  </si>
  <si>
    <t>Jay</t>
  </si>
  <si>
    <t>Present days</t>
  </si>
  <si>
    <t>Absent days</t>
  </si>
  <si>
    <t>Count sales above 10000</t>
  </si>
  <si>
    <t>Count sales below 5000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</si>
  <si>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</si>
  <si>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</si>
  <si>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</si>
  <si>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</si>
  <si>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</si>
  <si>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</si>
  <si>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</si>
  <si>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</si>
  <si>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</si>
  <si>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</si>
  <si>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</si>
  <si>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</si>
  <si>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</si>
  <si>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</si>
  <si>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</si>
  <si>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</si>
  <si>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</si>
  <si>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</si>
  <si>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</si>
  <si>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</si>
  <si>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</si>
  <si>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 xml:space="preserve"> sales above 10000</t>
  </si>
  <si>
    <t>sales below 5000</t>
  </si>
  <si>
    <t>Highlight sales &gt; 20000 (Green)</t>
  </si>
  <si>
    <t>Highlight sales &lt; 5000 (Red)</t>
  </si>
  <si>
    <t>Product</t>
  </si>
  <si>
    <t>Mobile</t>
  </si>
  <si>
    <t>Headphones</t>
  </si>
  <si>
    <t>Laptop</t>
  </si>
  <si>
    <t>Keyboard</t>
  </si>
  <si>
    <t>Tablet</t>
  </si>
  <si>
    <t>Marks ≥ 75 → Green</t>
  </si>
  <si>
    <t>Marks &lt; 40 → Red</t>
  </si>
  <si>
    <t>Marks</t>
  </si>
  <si>
    <t>Bharti</t>
  </si>
  <si>
    <t>Chetan</t>
  </si>
  <si>
    <t>Deepa</t>
  </si>
  <si>
    <t>Farhan</t>
  </si>
  <si>
    <t>≥ 50000 → Dark Green</t>
  </si>
  <si>
    <t>30000–49999 → Yellow</t>
  </si>
  <si>
    <t>&lt; 30000 → Light Red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</si>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</sst>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800]dddd\,\ mmmm\ dd\,\ yyyy"/>
    <numFmt numFmtId="166" formatCode="\7\8\%"/>
  </numFmts>
  <fonts count="29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8" tint="-0.249977111117893"/>
      <name val="Segoe UI"/>
      <family val="2"/>
    </font>
    <font>
      <sz val="8"/>
      <name val="Calibri"/>
      <family val="2"/>
      <scheme val="minor"/>
    </font>
    <font>
      <sz val="12"/>
      <color theme="1"/>
      <name val="Segoe UI"/>
      <family val="2"/>
    </font>
    <font>
      <sz val="13.75"/>
      <color theme="1"/>
      <name val="Segoe UI"/>
      <family val="2"/>
    </font>
    <font>
      <sz val="11"/>
      <color theme="0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sz val="20"/>
      <color theme="8" tint="-0.249977111117893"/>
      <name val="Algerian"/>
      <family val="5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Segoe UI"/>
      <family val="2"/>
    </font>
    <font>
      <sz val="11"/>
      <color theme="1"/>
      <name val="Arial"/>
      <family val="2"/>
    </font>
    <font>
      <sz val="12"/>
      <color theme="1"/>
      <name val="Segoe UI"/>
      <family val="2"/>
    </font>
    <font>
      <sz val="13.75"/>
      <color rgb="FFFF0000"/>
      <name val="Segoe UI"/>
      <family val="2"/>
    </font>
    <font>
      <sz val="11"/>
      <color theme="5" tint="-0.249977111117893"/>
      <name val="Arial"/>
      <family val="2"/>
    </font>
    <font>
      <sz val="11"/>
      <color theme="5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1"/>
      <name val="Segoe UI"/>
      <family val="2"/>
    </font>
    <font>
      <sz val="12"/>
      <color rgb="FFC00000"/>
      <name val="Segoe UI"/>
      <family val="2"/>
    </font>
    <font>
      <sz val="12"/>
      <color rgb="FFC00000"/>
      <name val="Calibri"/>
      <family val="2"/>
      <scheme val="minor"/>
    </font>
    <font>
      <sz val="14"/>
      <color rgb="FF00B050"/>
      <name val="Calibri"/>
      <family val="2"/>
      <scheme val="minor"/>
    </font>
    <font>
      <sz val="12"/>
      <color theme="1"/>
      <name val="sales above 10000"/>
    </font>
    <font>
      <sz val="11"/>
      <color theme="1"/>
      <name val="sales above 10000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/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3" applyNumberFormat="0" applyFill="0" applyAlignment="0" applyProtection="0"/>
  </cellStyleXfs>
  <cellXfs count="5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14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166" fontId="1" fillId="2" borderId="2" xfId="0" applyNumberFormat="1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10" fontId="0" fillId="0" borderId="0" xfId="1" applyNumberFormat="1" applyFont="1"/>
    <xf numFmtId="0" fontId="12" fillId="2" borderId="3" xfId="2" applyFill="1" applyAlignment="1">
      <alignment horizontal="center" vertical="center" wrapText="1"/>
    </xf>
    <xf numFmtId="0" fontId="15" fillId="2" borderId="2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 indent="1"/>
    </xf>
    <xf numFmtId="14" fontId="15" fillId="2" borderId="2" xfId="0" applyNumberFormat="1" applyFont="1" applyFill="1" applyBorder="1" applyAlignment="1">
      <alignment horizontal="left" vertical="center" wrapText="1" indent="1"/>
    </xf>
    <xf numFmtId="0" fontId="15" fillId="2" borderId="2" xfId="0" applyFont="1" applyFill="1" applyBorder="1" applyAlignment="1">
      <alignment horizontal="center" vertical="center" wrapText="1"/>
    </xf>
    <xf numFmtId="0" fontId="13" fillId="0" borderId="0" xfId="0" applyFont="1"/>
    <xf numFmtId="0" fontId="18" fillId="2" borderId="2" xfId="0" applyFont="1" applyFill="1" applyBorder="1" applyAlignment="1">
      <alignment horizontal="left" vertical="center" wrapText="1" indent="1"/>
    </xf>
    <xf numFmtId="0" fontId="19" fillId="0" borderId="2" xfId="0" applyFont="1" applyBorder="1"/>
    <xf numFmtId="0" fontId="16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21" fillId="2" borderId="2" xfId="0" applyNumberFormat="1" applyFont="1" applyFill="1" applyBorder="1" applyAlignment="1">
      <alignment horizontal="center"/>
    </xf>
    <xf numFmtId="164" fontId="22" fillId="0" borderId="2" xfId="0" applyNumberFormat="1" applyFont="1" applyBorder="1"/>
    <xf numFmtId="0" fontId="22" fillId="0" borderId="2" xfId="0" applyFont="1" applyBorder="1"/>
    <xf numFmtId="164" fontId="23" fillId="0" borderId="2" xfId="0" applyNumberFormat="1" applyFont="1" applyBorder="1" applyAlignment="1">
      <alignment vertical="center"/>
    </xf>
    <xf numFmtId="0" fontId="24" fillId="0" borderId="2" xfId="0" applyFont="1" applyBorder="1" applyAlignment="1">
      <alignment wrapText="1"/>
    </xf>
    <xf numFmtId="0" fontId="24" fillId="0" borderId="2" xfId="0" applyFont="1" applyBorder="1"/>
    <xf numFmtId="0" fontId="1" fillId="2" borderId="2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 vertical="center" wrapText="1"/>
    </xf>
    <xf numFmtId="164" fontId="25" fillId="2" borderId="2" xfId="0" applyNumberFormat="1" applyFont="1" applyFill="1" applyBorder="1" applyAlignment="1">
      <alignment horizontal="center" vertical="center" wrapText="1"/>
    </xf>
    <xf numFmtId="165" fontId="25" fillId="2" borderId="2" xfId="0" applyNumberFormat="1" applyFont="1" applyFill="1" applyBorder="1" applyAlignment="1">
      <alignment horizontal="center" vertical="center" wrapText="1"/>
    </xf>
    <xf numFmtId="164" fontId="26" fillId="0" borderId="2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 wrapText="1"/>
    </xf>
    <xf numFmtId="0" fontId="27" fillId="5" borderId="2" xfId="0" applyFont="1" applyFill="1" applyBorder="1"/>
    <xf numFmtId="0" fontId="0" fillId="0" borderId="0" xfId="0" quotePrefix="1"/>
    <xf numFmtId="0" fontId="28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2" borderId="2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/>
    </xf>
  </cellXfs>
  <cellStyles count="3">
    <cellStyle name="Heading 2" xfId="2" builtinId="17"/>
    <cellStyle name="Normal" xfId="0" builtinId="0"/>
    <cellStyle name="Percent" xfId="1" builtinId="5"/>
  </cellStyles>
  <dxfs count="1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216C-5978-4120-B22B-734DE12A62DE}">
  <dimension ref="A1:T22"/>
  <sheetViews>
    <sheetView workbookViewId="0">
      <selection activeCell="J10" sqref="J10"/>
    </sheetView>
  </sheetViews>
  <sheetFormatPr defaultRowHeight="15"/>
  <cols>
    <col min="1" max="1" width="15.28515625" bestFit="1" customWidth="1"/>
    <col min="2" max="2" width="13.85546875" bestFit="1" customWidth="1"/>
    <col min="3" max="3" width="14.5703125" bestFit="1" customWidth="1"/>
    <col min="4" max="4" width="13.42578125" bestFit="1" customWidth="1"/>
    <col min="5" max="5" width="20.7109375" bestFit="1" customWidth="1"/>
    <col min="16" max="16" width="38.7109375" bestFit="1" customWidth="1"/>
    <col min="17" max="17" width="15.7109375" bestFit="1" customWidth="1"/>
    <col min="18" max="18" width="14.7109375" bestFit="1" customWidth="1"/>
    <col min="19" max="19" width="9" bestFit="1" customWidth="1"/>
    <col min="20" max="20" width="15.42578125" bestFit="1" customWidth="1"/>
  </cols>
  <sheetData>
    <row r="1" spans="1:20" ht="18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20" ht="30" customHeight="1">
      <c r="A2" s="39" t="s">
        <v>5</v>
      </c>
      <c r="B2" s="39" t="s">
        <v>6</v>
      </c>
      <c r="C2" s="39" t="s">
        <v>7</v>
      </c>
      <c r="D2" s="40">
        <v>32000</v>
      </c>
      <c r="E2" s="41">
        <v>44573</v>
      </c>
    </row>
    <row r="3" spans="1:20" ht="30" customHeight="1">
      <c r="A3" s="39" t="s">
        <v>8</v>
      </c>
      <c r="B3" s="39" t="s">
        <v>9</v>
      </c>
      <c r="C3" s="39" t="s">
        <v>10</v>
      </c>
      <c r="D3" s="40">
        <v>45000</v>
      </c>
      <c r="E3" s="41">
        <v>44260</v>
      </c>
    </row>
    <row r="4" spans="1:20" ht="30" customHeight="1">
      <c r="A4" s="39" t="s">
        <v>11</v>
      </c>
      <c r="B4" s="39" t="s">
        <v>12</v>
      </c>
      <c r="C4" s="39" t="s">
        <v>13</v>
      </c>
      <c r="D4" s="40">
        <v>38000</v>
      </c>
      <c r="E4" s="41">
        <v>44030</v>
      </c>
    </row>
    <row r="5" spans="1:20" ht="30" customHeight="1">
      <c r="A5" s="39" t="s">
        <v>14</v>
      </c>
      <c r="B5" s="39" t="s">
        <v>15</v>
      </c>
      <c r="C5" s="39" t="s">
        <v>10</v>
      </c>
      <c r="D5" s="40">
        <v>52000</v>
      </c>
      <c r="E5" s="41">
        <v>43779</v>
      </c>
    </row>
    <row r="6" spans="1:20" ht="30" customHeight="1">
      <c r="A6" s="39" t="s">
        <v>16</v>
      </c>
      <c r="B6" s="39" t="s">
        <v>17</v>
      </c>
      <c r="C6" s="39" t="s">
        <v>18</v>
      </c>
      <c r="D6" s="40">
        <v>30000</v>
      </c>
      <c r="E6" s="41">
        <v>45102</v>
      </c>
    </row>
    <row r="7" spans="1:20" ht="30" customHeight="1">
      <c r="A7" s="39" t="s">
        <v>19</v>
      </c>
      <c r="B7" s="39" t="s">
        <v>34</v>
      </c>
      <c r="C7" s="39" t="s">
        <v>13</v>
      </c>
      <c r="D7" s="42">
        <v>35708</v>
      </c>
      <c r="E7" s="43">
        <v>38487</v>
      </c>
    </row>
    <row r="8" spans="1:20" ht="30" customHeight="1" thickBot="1">
      <c r="A8" s="39" t="s">
        <v>20</v>
      </c>
      <c r="B8" s="39" t="s">
        <v>35</v>
      </c>
      <c r="C8" s="39" t="s">
        <v>10</v>
      </c>
      <c r="D8" s="42">
        <v>32247</v>
      </c>
      <c r="E8" s="43">
        <v>39709</v>
      </c>
    </row>
    <row r="9" spans="1:20" ht="30" customHeight="1" thickBot="1">
      <c r="A9" s="39" t="s">
        <v>21</v>
      </c>
      <c r="B9" s="39" t="s">
        <v>36</v>
      </c>
      <c r="C9" s="39" t="s">
        <v>7</v>
      </c>
      <c r="D9" s="42">
        <v>36949</v>
      </c>
      <c r="E9" s="43">
        <v>36975</v>
      </c>
      <c r="P9" s="6" t="s">
        <v>0</v>
      </c>
      <c r="Q9" s="6" t="s">
        <v>1</v>
      </c>
      <c r="R9" s="6" t="s">
        <v>2</v>
      </c>
      <c r="S9" s="6" t="s">
        <v>3</v>
      </c>
      <c r="T9" s="6" t="s">
        <v>4</v>
      </c>
    </row>
    <row r="10" spans="1:20" ht="30" customHeight="1" thickBot="1">
      <c r="A10" s="39" t="s">
        <v>22</v>
      </c>
      <c r="B10" s="39" t="s">
        <v>37</v>
      </c>
      <c r="C10" s="39" t="s">
        <v>13</v>
      </c>
      <c r="D10" s="42">
        <v>35742</v>
      </c>
      <c r="E10" s="43">
        <v>36976</v>
      </c>
      <c r="P10" s="1" t="s">
        <v>5</v>
      </c>
      <c r="Q10" s="1" t="s">
        <v>6</v>
      </c>
      <c r="R10" s="1" t="s">
        <v>7</v>
      </c>
      <c r="S10" s="1">
        <v>32000</v>
      </c>
      <c r="T10" s="2">
        <v>44573</v>
      </c>
    </row>
    <row r="11" spans="1:20" ht="30" customHeight="1" thickBot="1">
      <c r="A11" s="39" t="s">
        <v>23</v>
      </c>
      <c r="B11" s="39" t="s">
        <v>38</v>
      </c>
      <c r="C11" s="39" t="s">
        <v>18</v>
      </c>
      <c r="D11" s="42">
        <v>46929</v>
      </c>
      <c r="E11" s="43">
        <v>38803</v>
      </c>
      <c r="P11" s="1" t="s">
        <v>8</v>
      </c>
      <c r="Q11" s="1" t="s">
        <v>9</v>
      </c>
      <c r="R11" s="1" t="s">
        <v>10</v>
      </c>
      <c r="S11" s="1">
        <v>45000</v>
      </c>
      <c r="T11" s="2">
        <v>44260</v>
      </c>
    </row>
    <row r="12" spans="1:20" ht="30" customHeight="1" thickBot="1">
      <c r="A12" s="39" t="s">
        <v>24</v>
      </c>
      <c r="B12" s="39" t="s">
        <v>39</v>
      </c>
      <c r="C12" s="39" t="s">
        <v>7</v>
      </c>
      <c r="D12" s="42">
        <v>48994</v>
      </c>
      <c r="E12" s="43">
        <v>39900</v>
      </c>
      <c r="P12" s="1" t="s">
        <v>11</v>
      </c>
      <c r="Q12" s="1" t="s">
        <v>12</v>
      </c>
      <c r="R12" s="1" t="s">
        <v>13</v>
      </c>
      <c r="S12" s="1">
        <v>38000</v>
      </c>
      <c r="T12" s="2">
        <v>44030</v>
      </c>
    </row>
    <row r="13" spans="1:20" ht="30" customHeight="1" thickBot="1">
      <c r="A13" s="39" t="s">
        <v>25</v>
      </c>
      <c r="B13" s="39" t="s">
        <v>40</v>
      </c>
      <c r="C13" s="39" t="s">
        <v>13</v>
      </c>
      <c r="D13" s="42">
        <v>44404</v>
      </c>
      <c r="E13" s="43">
        <v>39170</v>
      </c>
      <c r="P13" s="1" t="s">
        <v>14</v>
      </c>
      <c r="Q13" s="1" t="s">
        <v>15</v>
      </c>
      <c r="R13" s="1" t="s">
        <v>10</v>
      </c>
      <c r="S13" s="1">
        <v>52000</v>
      </c>
      <c r="T13" s="2">
        <v>43779</v>
      </c>
    </row>
    <row r="14" spans="1:20" ht="30" customHeight="1" thickBot="1">
      <c r="A14" s="39" t="s">
        <v>26</v>
      </c>
      <c r="B14" s="39" t="s">
        <v>41</v>
      </c>
      <c r="C14" s="39" t="s">
        <v>18</v>
      </c>
      <c r="D14" s="42">
        <v>36654</v>
      </c>
      <c r="E14" s="43">
        <v>42093</v>
      </c>
      <c r="P14" s="1" t="s">
        <v>16</v>
      </c>
      <c r="Q14" s="1" t="s">
        <v>17</v>
      </c>
      <c r="R14" s="1" t="s">
        <v>18</v>
      </c>
      <c r="S14" s="1">
        <v>30000</v>
      </c>
      <c r="T14" s="2">
        <v>45102</v>
      </c>
    </row>
    <row r="15" spans="1:20" ht="30" customHeight="1">
      <c r="A15" s="39" t="s">
        <v>27</v>
      </c>
      <c r="B15" s="39" t="s">
        <v>42</v>
      </c>
      <c r="C15" s="39" t="s">
        <v>7</v>
      </c>
      <c r="D15" s="42">
        <v>49186</v>
      </c>
      <c r="E15" s="43">
        <v>41364</v>
      </c>
    </row>
    <row r="16" spans="1:20" ht="30" customHeight="1">
      <c r="A16" s="39" t="s">
        <v>28</v>
      </c>
      <c r="B16" s="39" t="s">
        <v>43</v>
      </c>
      <c r="C16" s="39" t="s">
        <v>13</v>
      </c>
      <c r="D16" s="42">
        <v>37732</v>
      </c>
      <c r="E16" s="43">
        <v>41000</v>
      </c>
      <c r="P16" s="7" t="s">
        <v>49</v>
      </c>
    </row>
    <row r="17" spans="1:16" ht="30" customHeight="1">
      <c r="A17" s="39" t="s">
        <v>29</v>
      </c>
      <c r="B17" s="39" t="s">
        <v>44</v>
      </c>
      <c r="C17" s="39" t="s">
        <v>10</v>
      </c>
      <c r="D17" s="42">
        <v>39702</v>
      </c>
      <c r="E17" s="43">
        <v>39905</v>
      </c>
      <c r="P17" s="8" t="s">
        <v>50</v>
      </c>
    </row>
    <row r="18" spans="1:16" ht="30" customHeight="1">
      <c r="A18" s="39" t="s">
        <v>30</v>
      </c>
      <c r="B18" s="39" t="s">
        <v>45</v>
      </c>
      <c r="C18" s="39" t="s">
        <v>18</v>
      </c>
      <c r="D18" s="42">
        <v>44782</v>
      </c>
      <c r="E18" s="43">
        <v>39541</v>
      </c>
      <c r="P18" s="8" t="s">
        <v>51</v>
      </c>
    </row>
    <row r="19" spans="1:16" ht="30" customHeight="1">
      <c r="A19" s="39" t="s">
        <v>31</v>
      </c>
      <c r="B19" s="39" t="s">
        <v>46</v>
      </c>
      <c r="C19" s="39" t="s">
        <v>13</v>
      </c>
      <c r="D19" s="42">
        <v>30753</v>
      </c>
      <c r="E19" s="43">
        <v>38811</v>
      </c>
      <c r="P19" s="8" t="s">
        <v>52</v>
      </c>
    </row>
    <row r="20" spans="1:16" ht="30" customHeight="1">
      <c r="A20" s="39" t="s">
        <v>32</v>
      </c>
      <c r="B20" s="39" t="s">
        <v>47</v>
      </c>
      <c r="C20" s="39" t="s">
        <v>10</v>
      </c>
      <c r="D20" s="42">
        <v>32576</v>
      </c>
      <c r="E20" s="43">
        <v>38447</v>
      </c>
      <c r="P20" s="8" t="s">
        <v>53</v>
      </c>
    </row>
    <row r="21" spans="1:16" ht="30" customHeight="1">
      <c r="A21" s="39" t="s">
        <v>33</v>
      </c>
      <c r="B21" s="39" t="s">
        <v>48</v>
      </c>
      <c r="C21" s="39" t="s">
        <v>7</v>
      </c>
      <c r="D21" s="42">
        <v>32693</v>
      </c>
      <c r="E21" s="43">
        <v>39178</v>
      </c>
    </row>
    <row r="22" spans="1:16">
      <c r="E22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756A-39CB-4DDC-B463-BC43644EA4B5}">
  <dimension ref="A1:V18"/>
  <sheetViews>
    <sheetView topLeftCell="A4" workbookViewId="0">
      <selection activeCell="J10" sqref="J10"/>
    </sheetView>
  </sheetViews>
  <sheetFormatPr defaultRowHeight="15"/>
  <cols>
    <col min="1" max="1" width="16.7109375" customWidth="1"/>
    <col min="2" max="2" width="9.140625" bestFit="1" customWidth="1"/>
    <col min="3" max="3" width="16.85546875" bestFit="1" customWidth="1"/>
    <col min="4" max="4" width="15" bestFit="1" customWidth="1"/>
    <col min="15" max="15" width="9.140625" customWidth="1"/>
    <col min="17" max="17" width="23.42578125" customWidth="1"/>
  </cols>
  <sheetData>
    <row r="1" spans="1:22" ht="28.5">
      <c r="A1" s="48" t="s">
        <v>70</v>
      </c>
      <c r="B1" s="48"/>
      <c r="C1" s="48"/>
      <c r="D1" s="48"/>
    </row>
    <row r="2" spans="1:22" ht="17.25">
      <c r="A2" s="9" t="s">
        <v>54</v>
      </c>
      <c r="B2" s="9" t="s">
        <v>55</v>
      </c>
      <c r="C2" s="9" t="s">
        <v>56</v>
      </c>
      <c r="D2" s="9" t="s">
        <v>57</v>
      </c>
    </row>
    <row r="3" spans="1:22" ht="30">
      <c r="A3" s="10" t="s">
        <v>58</v>
      </c>
      <c r="B3" s="10" t="s">
        <v>59</v>
      </c>
      <c r="C3" s="44">
        <v>45000</v>
      </c>
      <c r="D3" s="10" t="s">
        <v>60</v>
      </c>
    </row>
    <row r="4" spans="1:22" ht="30">
      <c r="A4" s="10" t="s">
        <v>61</v>
      </c>
      <c r="B4" s="10" t="s">
        <v>62</v>
      </c>
      <c r="C4" s="44">
        <v>1200</v>
      </c>
      <c r="D4" s="10" t="s">
        <v>63</v>
      </c>
    </row>
    <row r="5" spans="1:22" ht="30">
      <c r="A5" s="10" t="s">
        <v>64</v>
      </c>
      <c r="B5" s="10" t="s">
        <v>65</v>
      </c>
      <c r="C5" s="44">
        <v>18000</v>
      </c>
      <c r="D5" s="10" t="s">
        <v>66</v>
      </c>
    </row>
    <row r="6" spans="1:22" ht="45.75" thickBot="1">
      <c r="A6" s="10" t="s">
        <v>67</v>
      </c>
      <c r="B6" s="10" t="s">
        <v>68</v>
      </c>
      <c r="C6" s="44">
        <v>62000</v>
      </c>
      <c r="D6" s="10" t="s">
        <v>69</v>
      </c>
    </row>
    <row r="7" spans="1:22" ht="30.75" thickBot="1">
      <c r="A7" s="10" t="str">
        <f>CHOOSE(3,A3,A4,A5)</f>
        <v>Samsung 24-inch Monitor</v>
      </c>
      <c r="B7" s="10" t="s">
        <v>59</v>
      </c>
      <c r="C7" s="44">
        <v>88056</v>
      </c>
      <c r="D7" s="11" t="s">
        <v>71</v>
      </c>
      <c r="Q7" s="12" t="s">
        <v>54</v>
      </c>
      <c r="R7" s="12" t="s">
        <v>55</v>
      </c>
      <c r="S7" s="12" t="s">
        <v>56</v>
      </c>
      <c r="T7" s="12" t="s">
        <v>57</v>
      </c>
    </row>
    <row r="8" spans="1:22" ht="45.75" thickBot="1">
      <c r="A8" s="10" t="str">
        <f t="shared" ref="A8:A11" si="0">CHOOSE(3,A4,A5,A6)</f>
        <v>Lenovo ThinkPad E14 Laptop</v>
      </c>
      <c r="B8" s="10" t="s">
        <v>62</v>
      </c>
      <c r="C8" s="44">
        <v>70396</v>
      </c>
      <c r="D8" s="11" t="s">
        <v>72</v>
      </c>
      <c r="Q8" s="13" t="s">
        <v>58</v>
      </c>
      <c r="R8" s="13" t="s">
        <v>59</v>
      </c>
      <c r="S8" s="13">
        <v>45000</v>
      </c>
      <c r="T8" s="13" t="s">
        <v>60</v>
      </c>
    </row>
    <row r="9" spans="1:22" ht="30.75" thickBot="1">
      <c r="A9" s="10" t="str">
        <f t="shared" si="0"/>
        <v>Samsung 24-inch Monitor</v>
      </c>
      <c r="B9" s="10" t="s">
        <v>65</v>
      </c>
      <c r="C9" s="44">
        <v>47660</v>
      </c>
      <c r="D9" s="11" t="s">
        <v>73</v>
      </c>
      <c r="F9" s="46"/>
      <c r="Q9" s="14" t="s">
        <v>61</v>
      </c>
      <c r="R9" s="14" t="s">
        <v>62</v>
      </c>
      <c r="S9" s="14">
        <v>1200</v>
      </c>
      <c r="T9" s="14" t="s">
        <v>63</v>
      </c>
    </row>
    <row r="10" spans="1:22" ht="45.75" thickBot="1">
      <c r="A10" s="10" t="str">
        <f t="shared" si="0"/>
        <v>Lenovo ThinkPad E14 Laptop</v>
      </c>
      <c r="B10" s="10" t="s">
        <v>68</v>
      </c>
      <c r="C10" s="44">
        <v>50834</v>
      </c>
      <c r="D10" s="11" t="s">
        <v>74</v>
      </c>
      <c r="F10" s="46"/>
      <c r="Q10" s="13" t="s">
        <v>64</v>
      </c>
      <c r="R10" s="13" t="s">
        <v>65</v>
      </c>
      <c r="S10" s="13">
        <v>18000</v>
      </c>
      <c r="T10" s="13" t="s">
        <v>66</v>
      </c>
    </row>
    <row r="11" spans="1:22" ht="30.75" thickBot="1">
      <c r="A11" s="10" t="str">
        <f t="shared" si="0"/>
        <v>Samsung 24-inch Monitor</v>
      </c>
      <c r="B11" s="10" t="s">
        <v>59</v>
      </c>
      <c r="C11" s="44">
        <v>53759</v>
      </c>
      <c r="D11" s="11" t="s">
        <v>75</v>
      </c>
      <c r="Q11" s="14" t="s">
        <v>67</v>
      </c>
      <c r="R11" s="14" t="s">
        <v>68</v>
      </c>
      <c r="S11" s="14">
        <v>62000</v>
      </c>
      <c r="T11" s="14" t="s">
        <v>69</v>
      </c>
    </row>
    <row r="12" spans="1:22" ht="30">
      <c r="A12" s="10" t="str">
        <f>CHOOSE(1,A3,A4)</f>
        <v>Laptop Dell Inspiron 15</v>
      </c>
      <c r="B12" s="10" t="s">
        <v>62</v>
      </c>
      <c r="C12" s="44">
        <v>56853</v>
      </c>
      <c r="D12" s="11" t="s">
        <v>76</v>
      </c>
    </row>
    <row r="13" spans="1:22" ht="30">
      <c r="A13" s="10" t="str">
        <f>CHOOSE(3,A9,A10,A11)</f>
        <v>Samsung 24-inch Monitor</v>
      </c>
      <c r="B13" s="10" t="s">
        <v>65</v>
      </c>
      <c r="C13" s="44">
        <v>28387</v>
      </c>
      <c r="D13" s="11" t="s">
        <v>77</v>
      </c>
      <c r="Q13" s="49" t="s">
        <v>86</v>
      </c>
      <c r="R13" s="49"/>
      <c r="S13" s="49"/>
      <c r="T13" s="49"/>
      <c r="U13" s="49"/>
      <c r="V13" s="49"/>
    </row>
    <row r="14" spans="1:22" ht="30">
      <c r="A14" s="10" t="str">
        <f t="shared" ref="A14:A17" si="1">CHOOSE(3,A10,A11,A12)</f>
        <v>Laptop Dell Inspiron 15</v>
      </c>
      <c r="B14" s="10" t="s">
        <v>68</v>
      </c>
      <c r="C14" s="44">
        <v>29868</v>
      </c>
      <c r="D14" s="11" t="s">
        <v>78</v>
      </c>
      <c r="Q14" s="49" t="s">
        <v>83</v>
      </c>
      <c r="R14" s="49"/>
      <c r="S14" s="49"/>
      <c r="T14" s="49"/>
      <c r="U14" s="49"/>
      <c r="V14" s="49"/>
    </row>
    <row r="15" spans="1:22" ht="30">
      <c r="A15" s="10" t="str">
        <f t="shared" si="1"/>
        <v>Samsung 24-inch Monitor</v>
      </c>
      <c r="B15" s="10" t="s">
        <v>59</v>
      </c>
      <c r="C15" s="44">
        <v>68259</v>
      </c>
      <c r="D15" s="11" t="s">
        <v>79</v>
      </c>
      <c r="Q15" s="49" t="s">
        <v>84</v>
      </c>
      <c r="R15" s="49"/>
      <c r="S15" s="49"/>
      <c r="T15" s="49"/>
      <c r="U15" s="49"/>
      <c r="V15" s="49"/>
    </row>
    <row r="16" spans="1:22" ht="30">
      <c r="A16" s="10" t="str">
        <f t="shared" si="1"/>
        <v>Laptop Dell Inspiron 15</v>
      </c>
      <c r="B16" s="10" t="s">
        <v>62</v>
      </c>
      <c r="C16" s="44">
        <v>50440</v>
      </c>
      <c r="D16" s="11" t="s">
        <v>80</v>
      </c>
      <c r="Q16" s="49" t="s">
        <v>85</v>
      </c>
      <c r="R16" s="49"/>
      <c r="S16" s="49"/>
      <c r="T16" s="49"/>
      <c r="U16" s="49"/>
      <c r="V16" s="49"/>
    </row>
    <row r="17" spans="1:4" ht="30">
      <c r="A17" s="10" t="str">
        <f t="shared" si="1"/>
        <v>Samsung 24-inch Monitor</v>
      </c>
      <c r="B17" s="10" t="s">
        <v>65</v>
      </c>
      <c r="C17" s="44">
        <v>38576</v>
      </c>
      <c r="D17" s="11" t="s">
        <v>81</v>
      </c>
    </row>
    <row r="18" spans="1:4" ht="30">
      <c r="A18" s="10" t="str">
        <f>CHOOSE(1,A9,A10)</f>
        <v>Samsung 24-inch Monitor</v>
      </c>
      <c r="B18" s="10" t="s">
        <v>68</v>
      </c>
      <c r="C18" s="44">
        <v>81609</v>
      </c>
      <c r="D18" s="11" t="s">
        <v>82</v>
      </c>
    </row>
  </sheetData>
  <mergeCells count="5">
    <mergeCell ref="A1:D1"/>
    <mergeCell ref="Q13:V13"/>
    <mergeCell ref="Q14:V14"/>
    <mergeCell ref="Q15:V15"/>
    <mergeCell ref="Q16:V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5FDD-61EA-43A6-8132-817D6FD2BEAD}">
  <dimension ref="A1:W21"/>
  <sheetViews>
    <sheetView workbookViewId="0">
      <selection activeCell="B4" sqref="B4:B21"/>
    </sheetView>
  </sheetViews>
  <sheetFormatPr defaultRowHeight="15"/>
  <cols>
    <col min="2" max="2" width="12" customWidth="1"/>
    <col min="7" max="7" width="12.7109375" customWidth="1"/>
  </cols>
  <sheetData>
    <row r="1" spans="1:23" ht="35.25" thickBot="1">
      <c r="A1" s="20" t="s">
        <v>87</v>
      </c>
      <c r="B1" s="20" t="s">
        <v>88</v>
      </c>
      <c r="C1" s="20" t="s">
        <v>89</v>
      </c>
      <c r="D1" s="20" t="s">
        <v>90</v>
      </c>
      <c r="E1" s="20" t="s">
        <v>91</v>
      </c>
      <c r="F1" s="20" t="s">
        <v>109</v>
      </c>
      <c r="G1" s="20" t="s">
        <v>92</v>
      </c>
    </row>
    <row r="2" spans="1:23" ht="18" thickTop="1">
      <c r="A2" s="15">
        <v>1</v>
      </c>
      <c r="B2" s="15" t="s">
        <v>93</v>
      </c>
      <c r="C2" s="15">
        <v>78</v>
      </c>
      <c r="D2" s="15">
        <v>82</v>
      </c>
      <c r="E2" s="15">
        <v>74</v>
      </c>
      <c r="F2" s="15">
        <f>C2+D2+E2</f>
        <v>234</v>
      </c>
      <c r="G2" s="17">
        <f>SUM(C2,D2,E2)/300</f>
        <v>0.78</v>
      </c>
      <c r="K2" s="19"/>
    </row>
    <row r="3" spans="1:23" ht="17.25">
      <c r="A3" s="15">
        <v>2</v>
      </c>
      <c r="B3" s="15" t="s">
        <v>94</v>
      </c>
      <c r="C3" s="15">
        <v>65</v>
      </c>
      <c r="D3" s="15">
        <v>70</v>
      </c>
      <c r="E3" s="15">
        <v>68</v>
      </c>
      <c r="F3" s="15">
        <f t="shared" ref="F3:F21" si="0">C3+D3+E3</f>
        <v>203</v>
      </c>
      <c r="G3" s="18">
        <f>SUM(C3,D3,E3)/300</f>
        <v>0.67666666666666664</v>
      </c>
      <c r="K3" s="19"/>
    </row>
    <row r="4" spans="1:23" ht="17.25">
      <c r="A4" s="15">
        <v>3</v>
      </c>
      <c r="B4" s="15" t="s">
        <v>95</v>
      </c>
      <c r="C4" s="15">
        <v>90</v>
      </c>
      <c r="D4" s="15">
        <v>88</v>
      </c>
      <c r="E4" s="15">
        <v>92</v>
      </c>
      <c r="F4" s="15">
        <f t="shared" si="0"/>
        <v>270</v>
      </c>
      <c r="G4" s="18">
        <f t="shared" ref="G4:G21" si="1">SUM(C4,D4,E4)/300</f>
        <v>0.9</v>
      </c>
    </row>
    <row r="5" spans="1:23" ht="17.25">
      <c r="A5" s="15">
        <v>4</v>
      </c>
      <c r="B5" s="15" t="s">
        <v>96</v>
      </c>
      <c r="C5" s="15">
        <v>35</v>
      </c>
      <c r="D5" s="15">
        <v>40</v>
      </c>
      <c r="E5" s="15">
        <v>38</v>
      </c>
      <c r="F5" s="15">
        <f t="shared" si="0"/>
        <v>113</v>
      </c>
      <c r="G5" s="18">
        <f t="shared" si="1"/>
        <v>0.37666666666666665</v>
      </c>
    </row>
    <row r="6" spans="1:23" ht="17.25">
      <c r="A6" s="15">
        <v>5</v>
      </c>
      <c r="B6" s="15" t="s">
        <v>97</v>
      </c>
      <c r="C6" s="15">
        <v>55</v>
      </c>
      <c r="D6" s="15">
        <v>60</v>
      </c>
      <c r="E6" s="15">
        <v>58</v>
      </c>
      <c r="F6" s="15">
        <f t="shared" si="0"/>
        <v>173</v>
      </c>
      <c r="G6" s="18">
        <f t="shared" si="1"/>
        <v>0.57666666666666666</v>
      </c>
      <c r="Q6" s="50" t="s">
        <v>110</v>
      </c>
      <c r="R6" s="50"/>
      <c r="S6" s="50"/>
      <c r="T6" s="50"/>
      <c r="U6" s="50"/>
      <c r="V6" s="50"/>
      <c r="W6" s="50"/>
    </row>
    <row r="7" spans="1:23" ht="17.25">
      <c r="A7" s="15">
        <v>6</v>
      </c>
      <c r="B7" s="15" t="s">
        <v>71</v>
      </c>
      <c r="C7" s="16">
        <v>43</v>
      </c>
      <c r="D7" s="16">
        <v>72</v>
      </c>
      <c r="E7" s="16">
        <v>85</v>
      </c>
      <c r="F7" s="15">
        <f t="shared" si="0"/>
        <v>200</v>
      </c>
      <c r="G7" s="18">
        <f t="shared" si="1"/>
        <v>0.66666666666666663</v>
      </c>
      <c r="Q7" s="50" t="s">
        <v>111</v>
      </c>
      <c r="R7" s="50"/>
      <c r="S7" s="50"/>
      <c r="T7" s="50"/>
      <c r="U7" s="50"/>
      <c r="V7" s="50"/>
      <c r="W7" s="50"/>
    </row>
    <row r="8" spans="1:23" ht="17.25">
      <c r="A8" s="15">
        <v>7</v>
      </c>
      <c r="B8" s="15" t="s">
        <v>98</v>
      </c>
      <c r="C8" s="16">
        <v>79</v>
      </c>
      <c r="D8" s="16">
        <v>52</v>
      </c>
      <c r="E8" s="16">
        <v>57</v>
      </c>
      <c r="F8" s="15">
        <f t="shared" si="0"/>
        <v>188</v>
      </c>
      <c r="G8" s="18">
        <f t="shared" si="1"/>
        <v>0.62666666666666671</v>
      </c>
      <c r="Q8" s="50" t="s">
        <v>112</v>
      </c>
      <c r="R8" s="50"/>
      <c r="S8" s="50"/>
      <c r="T8" s="50"/>
      <c r="U8" s="50"/>
      <c r="V8" s="50"/>
      <c r="W8" s="50"/>
    </row>
    <row r="9" spans="1:23" ht="17.25">
      <c r="A9" s="15">
        <v>8</v>
      </c>
      <c r="B9" s="15" t="s">
        <v>99</v>
      </c>
      <c r="C9" s="16">
        <v>56</v>
      </c>
      <c r="D9" s="16">
        <v>91</v>
      </c>
      <c r="E9" s="16">
        <v>85</v>
      </c>
      <c r="F9" s="15">
        <f t="shared" si="0"/>
        <v>232</v>
      </c>
      <c r="G9" s="18">
        <f t="shared" si="1"/>
        <v>0.77333333333333332</v>
      </c>
    </row>
    <row r="10" spans="1:23" ht="17.25">
      <c r="A10" s="15">
        <v>9</v>
      </c>
      <c r="B10" s="15" t="s">
        <v>100</v>
      </c>
      <c r="C10" s="16">
        <v>73</v>
      </c>
      <c r="D10" s="16">
        <v>84</v>
      </c>
      <c r="E10" s="16">
        <v>86</v>
      </c>
      <c r="F10" s="15">
        <f t="shared" si="0"/>
        <v>243</v>
      </c>
      <c r="G10" s="18">
        <f t="shared" si="1"/>
        <v>0.81</v>
      </c>
    </row>
    <row r="11" spans="1:23" ht="17.25">
      <c r="A11" s="15">
        <v>10</v>
      </c>
      <c r="B11" s="15" t="s">
        <v>101</v>
      </c>
      <c r="C11" s="16">
        <v>87</v>
      </c>
      <c r="D11" s="16">
        <v>72</v>
      </c>
      <c r="E11" s="16">
        <v>48</v>
      </c>
      <c r="F11" s="15">
        <f t="shared" si="0"/>
        <v>207</v>
      </c>
      <c r="G11" s="18">
        <f t="shared" si="1"/>
        <v>0.69</v>
      </c>
    </row>
    <row r="12" spans="1:23" ht="17.25">
      <c r="A12" s="15">
        <v>11</v>
      </c>
      <c r="B12" s="15" t="s">
        <v>102</v>
      </c>
      <c r="C12" s="16">
        <v>45</v>
      </c>
      <c r="D12" s="16">
        <v>58</v>
      </c>
      <c r="E12" s="16">
        <v>46</v>
      </c>
      <c r="F12" s="15">
        <f t="shared" si="0"/>
        <v>149</v>
      </c>
      <c r="G12" s="18">
        <f t="shared" si="1"/>
        <v>0.49666666666666665</v>
      </c>
    </row>
    <row r="13" spans="1:23" ht="17.25">
      <c r="A13" s="15">
        <v>12</v>
      </c>
      <c r="B13" s="15" t="s">
        <v>80</v>
      </c>
      <c r="C13" s="16">
        <v>68</v>
      </c>
      <c r="D13" s="16">
        <v>79</v>
      </c>
      <c r="E13" s="16">
        <v>55</v>
      </c>
      <c r="F13" s="15">
        <f t="shared" si="0"/>
        <v>202</v>
      </c>
      <c r="G13" s="18">
        <f t="shared" si="1"/>
        <v>0.67333333333333334</v>
      </c>
    </row>
    <row r="14" spans="1:23" ht="17.25">
      <c r="A14" s="15">
        <v>13</v>
      </c>
      <c r="B14" s="15" t="s">
        <v>103</v>
      </c>
      <c r="C14" s="16">
        <v>72</v>
      </c>
      <c r="D14" s="16">
        <v>80</v>
      </c>
      <c r="E14" s="16">
        <v>78</v>
      </c>
      <c r="F14" s="15">
        <f t="shared" si="0"/>
        <v>230</v>
      </c>
      <c r="G14" s="18">
        <f t="shared" si="1"/>
        <v>0.76666666666666672</v>
      </c>
    </row>
    <row r="15" spans="1:23" ht="17.25">
      <c r="A15" s="15">
        <v>14</v>
      </c>
      <c r="B15" s="15" t="s">
        <v>104</v>
      </c>
      <c r="C15" s="16">
        <v>59</v>
      </c>
      <c r="D15" s="16">
        <v>55</v>
      </c>
      <c r="E15" s="16">
        <v>82</v>
      </c>
      <c r="F15" s="15">
        <f t="shared" si="0"/>
        <v>196</v>
      </c>
      <c r="G15" s="18">
        <f t="shared" si="1"/>
        <v>0.65333333333333332</v>
      </c>
    </row>
    <row r="16" spans="1:23" ht="17.25">
      <c r="A16" s="15">
        <v>15</v>
      </c>
      <c r="B16" s="15" t="s">
        <v>72</v>
      </c>
      <c r="C16" s="16">
        <v>92</v>
      </c>
      <c r="D16" s="16">
        <v>51</v>
      </c>
      <c r="E16" s="16">
        <v>91</v>
      </c>
      <c r="F16" s="15">
        <f t="shared" si="0"/>
        <v>234</v>
      </c>
      <c r="G16" s="18">
        <f t="shared" si="1"/>
        <v>0.78</v>
      </c>
    </row>
    <row r="17" spans="1:7" ht="17.25">
      <c r="A17" s="15">
        <v>16</v>
      </c>
      <c r="B17" s="15" t="s">
        <v>105</v>
      </c>
      <c r="C17" s="16">
        <v>66</v>
      </c>
      <c r="D17" s="16">
        <v>81</v>
      </c>
      <c r="E17" s="16">
        <v>81</v>
      </c>
      <c r="F17" s="15">
        <f t="shared" si="0"/>
        <v>228</v>
      </c>
      <c r="G17" s="18">
        <f t="shared" si="1"/>
        <v>0.76</v>
      </c>
    </row>
    <row r="18" spans="1:7" ht="17.25">
      <c r="A18" s="15">
        <v>17</v>
      </c>
      <c r="B18" s="15" t="s">
        <v>106</v>
      </c>
      <c r="C18" s="16">
        <v>52</v>
      </c>
      <c r="D18" s="16">
        <v>80</v>
      </c>
      <c r="E18" s="16">
        <v>79</v>
      </c>
      <c r="F18" s="15">
        <f t="shared" si="0"/>
        <v>211</v>
      </c>
      <c r="G18" s="18">
        <f t="shared" si="1"/>
        <v>0.70333333333333337</v>
      </c>
    </row>
    <row r="19" spans="1:7" ht="17.25">
      <c r="A19" s="15">
        <v>18</v>
      </c>
      <c r="B19" s="15" t="s">
        <v>107</v>
      </c>
      <c r="C19" s="16">
        <v>68</v>
      </c>
      <c r="D19" s="16">
        <v>93</v>
      </c>
      <c r="E19" s="16">
        <v>72</v>
      </c>
      <c r="F19" s="15">
        <f t="shared" si="0"/>
        <v>233</v>
      </c>
      <c r="G19" s="18">
        <f t="shared" si="1"/>
        <v>0.77666666666666662</v>
      </c>
    </row>
    <row r="20" spans="1:7" ht="17.25">
      <c r="A20" s="15">
        <v>19</v>
      </c>
      <c r="B20" s="15" t="s">
        <v>74</v>
      </c>
      <c r="C20" s="16">
        <v>66</v>
      </c>
      <c r="D20" s="16">
        <v>60</v>
      </c>
      <c r="E20" s="16">
        <v>71</v>
      </c>
      <c r="F20" s="15">
        <f t="shared" si="0"/>
        <v>197</v>
      </c>
      <c r="G20" s="18">
        <f t="shared" si="1"/>
        <v>0.65666666666666662</v>
      </c>
    </row>
    <row r="21" spans="1:7" ht="17.25">
      <c r="A21" s="15">
        <v>20</v>
      </c>
      <c r="B21" s="15" t="s">
        <v>108</v>
      </c>
      <c r="C21" s="16">
        <v>83</v>
      </c>
      <c r="D21" s="16">
        <v>65</v>
      </c>
      <c r="E21" s="16">
        <v>73</v>
      </c>
      <c r="F21" s="15">
        <f t="shared" si="0"/>
        <v>221</v>
      </c>
      <c r="G21" s="18">
        <f t="shared" si="1"/>
        <v>0.73666666666666669</v>
      </c>
    </row>
  </sheetData>
  <mergeCells count="3">
    <mergeCell ref="Q6:W6"/>
    <mergeCell ref="Q7:W7"/>
    <mergeCell ref="Q8:W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DFE9-C1EE-4291-B82D-AB874EA19D1C}">
  <dimension ref="A1:X26"/>
  <sheetViews>
    <sheetView workbookViewId="0">
      <selection activeCell="I19" sqref="I19"/>
    </sheetView>
  </sheetViews>
  <sheetFormatPr defaultRowHeight="15"/>
  <cols>
    <col min="1" max="1" width="18.140625" customWidth="1"/>
    <col min="2" max="2" width="15.7109375" customWidth="1"/>
    <col min="3" max="3" width="15.140625" customWidth="1"/>
  </cols>
  <sheetData>
    <row r="1" spans="1:24" ht="17.25">
      <c r="A1" s="22" t="s">
        <v>116</v>
      </c>
      <c r="B1" s="22" t="s">
        <v>117</v>
      </c>
      <c r="C1" s="22" t="s">
        <v>56</v>
      </c>
    </row>
    <row r="2" spans="1:24" ht="15.95" customHeight="1">
      <c r="A2" s="23" t="s">
        <v>118</v>
      </c>
      <c r="B2" s="24">
        <v>45292</v>
      </c>
      <c r="C2" s="25">
        <v>12000</v>
      </c>
    </row>
    <row r="3" spans="1:24" ht="15.95" customHeight="1">
      <c r="A3" s="23" t="s">
        <v>119</v>
      </c>
      <c r="B3" s="24">
        <v>45294</v>
      </c>
      <c r="C3" s="25">
        <v>25000</v>
      </c>
    </row>
    <row r="4" spans="1:24" ht="15.95" customHeight="1">
      <c r="A4" s="23" t="s">
        <v>120</v>
      </c>
      <c r="B4" s="24">
        <v>45296</v>
      </c>
      <c r="C4" s="25">
        <v>8000</v>
      </c>
    </row>
    <row r="5" spans="1:24" ht="15.95" customHeight="1">
      <c r="A5" s="23" t="s">
        <v>121</v>
      </c>
      <c r="B5" s="24">
        <v>45299</v>
      </c>
      <c r="C5" s="25">
        <v>32000</v>
      </c>
    </row>
    <row r="6" spans="1:24" ht="15.95" customHeight="1">
      <c r="A6" s="23" t="s">
        <v>122</v>
      </c>
      <c r="B6" s="24">
        <v>45301</v>
      </c>
      <c r="C6" s="25">
        <v>15000</v>
      </c>
    </row>
    <row r="7" spans="1:24" ht="15.95" customHeight="1">
      <c r="A7" s="23" t="s">
        <v>123</v>
      </c>
      <c r="B7" s="24">
        <v>45303</v>
      </c>
      <c r="C7" s="21">
        <v>28115</v>
      </c>
    </row>
    <row r="8" spans="1:24" ht="15.95" customHeight="1">
      <c r="A8" s="23" t="s">
        <v>124</v>
      </c>
      <c r="B8" s="24">
        <v>45305</v>
      </c>
      <c r="C8" s="21">
        <v>23241</v>
      </c>
    </row>
    <row r="9" spans="1:24" ht="15.95" customHeight="1">
      <c r="A9" s="23" t="s">
        <v>125</v>
      </c>
      <c r="B9" s="24">
        <v>45307</v>
      </c>
      <c r="C9" s="21">
        <v>36273</v>
      </c>
    </row>
    <row r="10" spans="1:24" ht="15.95" customHeight="1">
      <c r="A10" s="23" t="s">
        <v>126</v>
      </c>
      <c r="B10" s="24">
        <v>45309</v>
      </c>
      <c r="C10" s="21">
        <v>19599</v>
      </c>
      <c r="S10" s="51" t="s">
        <v>49</v>
      </c>
      <c r="T10" s="51"/>
      <c r="U10" s="51"/>
      <c r="V10" s="51"/>
      <c r="W10" s="51"/>
      <c r="X10" s="26"/>
    </row>
    <row r="11" spans="1:24" ht="15.95" customHeight="1">
      <c r="A11" s="23" t="s">
        <v>127</v>
      </c>
      <c r="B11" s="24">
        <v>45311</v>
      </c>
      <c r="C11" s="21">
        <v>39248</v>
      </c>
      <c r="S11" s="50" t="s">
        <v>113</v>
      </c>
      <c r="T11" s="50"/>
      <c r="U11" s="50"/>
      <c r="V11" s="50"/>
      <c r="W11" s="50"/>
      <c r="X11" s="50"/>
    </row>
    <row r="12" spans="1:24" ht="15.95" customHeight="1">
      <c r="A12" s="23" t="s">
        <v>128</v>
      </c>
      <c r="B12" s="24">
        <v>45313</v>
      </c>
      <c r="C12" s="21">
        <v>38718</v>
      </c>
      <c r="S12" s="50" t="s">
        <v>114</v>
      </c>
      <c r="T12" s="50"/>
      <c r="U12" s="50"/>
      <c r="V12" s="50"/>
      <c r="W12" s="50"/>
      <c r="X12" s="50"/>
    </row>
    <row r="13" spans="1:24" ht="15.95" customHeight="1">
      <c r="A13" s="23" t="s">
        <v>129</v>
      </c>
      <c r="B13" s="24">
        <v>45315</v>
      </c>
      <c r="C13" s="21">
        <v>14862</v>
      </c>
      <c r="S13" s="50" t="s">
        <v>115</v>
      </c>
      <c r="T13" s="50"/>
      <c r="U13" s="50"/>
      <c r="V13" s="50"/>
      <c r="W13" s="50"/>
      <c r="X13" s="50"/>
    </row>
    <row r="14" spans="1:24" ht="15.95" customHeight="1">
      <c r="A14" s="23" t="s">
        <v>130</v>
      </c>
      <c r="B14" s="24">
        <v>45317</v>
      </c>
      <c r="C14" s="21">
        <v>28659</v>
      </c>
    </row>
    <row r="15" spans="1:24" ht="15.95" customHeight="1">
      <c r="A15" s="23" t="s">
        <v>131</v>
      </c>
      <c r="B15" s="24">
        <v>45319</v>
      </c>
      <c r="C15" s="21">
        <v>29456</v>
      </c>
    </row>
    <row r="16" spans="1:24" ht="15.95" customHeight="1">
      <c r="A16" s="23" t="s">
        <v>132</v>
      </c>
      <c r="B16" s="24">
        <v>45321</v>
      </c>
      <c r="C16" s="21">
        <v>17759</v>
      </c>
    </row>
    <row r="17" spans="1:3" ht="15.95" customHeight="1">
      <c r="A17" s="23" t="s">
        <v>133</v>
      </c>
      <c r="B17" s="24">
        <v>45323</v>
      </c>
      <c r="C17" s="21">
        <v>13996</v>
      </c>
    </row>
    <row r="18" spans="1:3" ht="15.95" customHeight="1">
      <c r="A18" s="23" t="s">
        <v>134</v>
      </c>
      <c r="B18" s="24">
        <v>45325</v>
      </c>
      <c r="C18" s="21">
        <v>9865</v>
      </c>
    </row>
    <row r="19" spans="1:3" ht="15.95" customHeight="1">
      <c r="A19" s="23" t="s">
        <v>135</v>
      </c>
      <c r="B19" s="24">
        <v>45327</v>
      </c>
      <c r="C19" s="21">
        <v>14128</v>
      </c>
    </row>
    <row r="20" spans="1:3" ht="15.95" customHeight="1">
      <c r="A20" s="23" t="s">
        <v>136</v>
      </c>
      <c r="B20" s="24">
        <v>45329</v>
      </c>
      <c r="C20" s="21">
        <v>23895</v>
      </c>
    </row>
    <row r="21" spans="1:3" ht="15.95" customHeight="1">
      <c r="A21" s="23" t="s">
        <v>137</v>
      </c>
      <c r="B21" s="24">
        <v>45331</v>
      </c>
      <c r="C21" s="21">
        <v>30668</v>
      </c>
    </row>
    <row r="23" spans="1:3">
      <c r="A23" s="27" t="s">
        <v>138</v>
      </c>
      <c r="B23" s="28">
        <f>SUM(C2:C21)</f>
        <v>460482</v>
      </c>
    </row>
    <row r="24" spans="1:3">
      <c r="A24" s="27" t="s">
        <v>139</v>
      </c>
      <c r="B24" s="28">
        <f>AVERAGE(C2:C21)</f>
        <v>23024.1</v>
      </c>
    </row>
    <row r="25" spans="1:3">
      <c r="A25" s="27" t="s">
        <v>140</v>
      </c>
      <c r="B25" s="28">
        <f>MAX(C2:C21)</f>
        <v>39248</v>
      </c>
    </row>
    <row r="26" spans="1:3">
      <c r="A26" s="27" t="s">
        <v>141</v>
      </c>
      <c r="B26" s="28">
        <f>MIN(C2:C21)</f>
        <v>8000</v>
      </c>
    </row>
  </sheetData>
  <mergeCells count="4">
    <mergeCell ref="S11:X11"/>
    <mergeCell ref="S12:X12"/>
    <mergeCell ref="S13:X13"/>
    <mergeCell ref="S10:W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36AE-9382-443F-A17F-45C89F521423}">
  <dimension ref="A1:Y27"/>
  <sheetViews>
    <sheetView workbookViewId="0">
      <selection activeCell="D27" sqref="D27"/>
    </sheetView>
  </sheetViews>
  <sheetFormatPr defaultRowHeight="15"/>
  <cols>
    <col min="1" max="1" width="13.5703125" customWidth="1"/>
    <col min="2" max="2" width="15.7109375" customWidth="1"/>
    <col min="3" max="3" width="13.85546875" customWidth="1"/>
    <col min="4" max="4" width="13.7109375" bestFit="1" customWidth="1"/>
  </cols>
  <sheetData>
    <row r="1" spans="1:25" ht="34.5">
      <c r="A1" s="29" t="s">
        <v>145</v>
      </c>
      <c r="B1" s="29" t="s">
        <v>2</v>
      </c>
      <c r="C1" s="29" t="s">
        <v>3</v>
      </c>
    </row>
    <row r="2" spans="1:25" ht="17.25">
      <c r="A2" s="15" t="s">
        <v>148</v>
      </c>
      <c r="B2" s="15" t="s">
        <v>13</v>
      </c>
      <c r="C2" s="31">
        <v>42000</v>
      </c>
    </row>
    <row r="3" spans="1:25" ht="17.25">
      <c r="A3" s="15" t="s">
        <v>150</v>
      </c>
      <c r="B3" s="15" t="s">
        <v>13</v>
      </c>
      <c r="C3" s="31">
        <v>38000</v>
      </c>
    </row>
    <row r="4" spans="1:25" ht="17.25">
      <c r="A4" s="15" t="s">
        <v>103</v>
      </c>
      <c r="B4" s="15" t="s">
        <v>13</v>
      </c>
      <c r="C4" s="32">
        <v>54324</v>
      </c>
    </row>
    <row r="5" spans="1:25" ht="17.25">
      <c r="A5" s="15" t="s">
        <v>72</v>
      </c>
      <c r="B5" s="15" t="s">
        <v>13</v>
      </c>
      <c r="C5" s="32">
        <v>46165</v>
      </c>
    </row>
    <row r="6" spans="1:25" ht="17.25">
      <c r="A6" s="15" t="s">
        <v>74</v>
      </c>
      <c r="B6" s="15" t="s">
        <v>13</v>
      </c>
      <c r="C6" s="32">
        <v>57634</v>
      </c>
    </row>
    <row r="7" spans="1:25" ht="17.25">
      <c r="A7" s="15" t="s">
        <v>96</v>
      </c>
      <c r="B7" s="15" t="s">
        <v>13</v>
      </c>
      <c r="C7" s="32">
        <v>58475</v>
      </c>
    </row>
    <row r="8" spans="1:25" ht="17.25">
      <c r="A8" s="15" t="s">
        <v>71</v>
      </c>
      <c r="B8" s="15" t="s">
        <v>13</v>
      </c>
      <c r="C8" s="32">
        <v>55810</v>
      </c>
    </row>
    <row r="9" spans="1:25" ht="17.25">
      <c r="A9" s="15" t="s">
        <v>146</v>
      </c>
      <c r="B9" s="15" t="s">
        <v>7</v>
      </c>
      <c r="C9" s="31">
        <v>28000</v>
      </c>
    </row>
    <row r="10" spans="1:25" ht="18.75">
      <c r="A10" s="15" t="s">
        <v>149</v>
      </c>
      <c r="B10" s="15" t="s">
        <v>7</v>
      </c>
      <c r="C10" s="31">
        <v>30000</v>
      </c>
      <c r="S10" s="26"/>
      <c r="T10" s="26"/>
      <c r="U10" s="52" t="s">
        <v>49</v>
      </c>
      <c r="V10" s="52"/>
      <c r="W10" s="52"/>
      <c r="X10" s="26"/>
      <c r="Y10" s="26"/>
    </row>
    <row r="11" spans="1:25" ht="15" customHeight="1">
      <c r="A11" s="15" t="s">
        <v>101</v>
      </c>
      <c r="B11" s="15" t="s">
        <v>7</v>
      </c>
      <c r="C11" s="32">
        <v>52669</v>
      </c>
      <c r="S11" s="50" t="s">
        <v>142</v>
      </c>
      <c r="T11" s="50"/>
      <c r="U11" s="50"/>
      <c r="V11" s="50"/>
      <c r="W11" s="50"/>
      <c r="X11" s="50"/>
      <c r="Y11" s="50"/>
    </row>
    <row r="12" spans="1:25" ht="15" customHeight="1">
      <c r="A12" s="15" t="s">
        <v>104</v>
      </c>
      <c r="B12" s="15" t="s">
        <v>7</v>
      </c>
      <c r="C12" s="32">
        <v>44564</v>
      </c>
      <c r="S12" s="50" t="s">
        <v>143</v>
      </c>
      <c r="T12" s="50"/>
      <c r="U12" s="50"/>
      <c r="V12" s="50"/>
      <c r="W12" s="50"/>
      <c r="X12" s="50"/>
      <c r="Y12" s="50"/>
    </row>
    <row r="13" spans="1:25" ht="15" customHeight="1">
      <c r="A13" s="15" t="s">
        <v>105</v>
      </c>
      <c r="B13" s="15" t="s">
        <v>7</v>
      </c>
      <c r="C13" s="32">
        <v>47339</v>
      </c>
      <c r="S13" s="50" t="s">
        <v>144</v>
      </c>
      <c r="T13" s="50"/>
      <c r="U13" s="50"/>
      <c r="V13" s="50"/>
      <c r="W13" s="50"/>
      <c r="X13" s="50"/>
      <c r="Y13" s="50"/>
    </row>
    <row r="14" spans="1:25" ht="17.25">
      <c r="A14" s="15" t="s">
        <v>108</v>
      </c>
      <c r="B14" s="15" t="s">
        <v>7</v>
      </c>
      <c r="C14" s="32">
        <v>54989</v>
      </c>
    </row>
    <row r="15" spans="1:25" ht="17.25">
      <c r="A15" s="15" t="s">
        <v>97</v>
      </c>
      <c r="B15" s="15" t="s">
        <v>7</v>
      </c>
      <c r="C15" s="32">
        <v>54420</v>
      </c>
    </row>
    <row r="16" spans="1:25" ht="17.25">
      <c r="A16" s="15" t="s">
        <v>99</v>
      </c>
      <c r="B16" s="15" t="s">
        <v>10</v>
      </c>
      <c r="C16" s="31">
        <v>45000</v>
      </c>
    </row>
    <row r="17" spans="1:4" ht="17.25">
      <c r="A17" s="15" t="s">
        <v>147</v>
      </c>
      <c r="B17" s="15" t="s">
        <v>10</v>
      </c>
      <c r="C17" s="31">
        <v>50000</v>
      </c>
    </row>
    <row r="18" spans="1:4" ht="17.25">
      <c r="A18" s="15" t="s">
        <v>102</v>
      </c>
      <c r="B18" s="15" t="s">
        <v>10</v>
      </c>
      <c r="C18" s="32">
        <v>59792</v>
      </c>
    </row>
    <row r="19" spans="1:4" ht="17.25">
      <c r="A19" s="15" t="s">
        <v>80</v>
      </c>
      <c r="B19" s="15" t="s">
        <v>10</v>
      </c>
      <c r="C19" s="32">
        <v>42833</v>
      </c>
    </row>
    <row r="20" spans="1:4" ht="17.25">
      <c r="A20" s="15" t="s">
        <v>106</v>
      </c>
      <c r="B20" s="15" t="s">
        <v>10</v>
      </c>
      <c r="C20" s="32">
        <v>49992</v>
      </c>
    </row>
    <row r="21" spans="1:4" ht="17.25">
      <c r="A21" s="15" t="s">
        <v>107</v>
      </c>
      <c r="B21" s="15" t="s">
        <v>10</v>
      </c>
      <c r="C21" s="32">
        <v>51681</v>
      </c>
    </row>
    <row r="23" spans="1:4" ht="20.100000000000001" customHeight="1">
      <c r="A23" s="54" t="s">
        <v>151</v>
      </c>
      <c r="B23" s="54"/>
      <c r="C23" s="54"/>
      <c r="D23" s="35">
        <f>SUM(C2:C8)</f>
        <v>352408</v>
      </c>
    </row>
    <row r="24" spans="1:4" ht="20.100000000000001" customHeight="1">
      <c r="A24" s="54" t="s">
        <v>152</v>
      </c>
      <c r="B24" s="54"/>
      <c r="C24" s="54"/>
      <c r="D24" s="35">
        <f>SUM(C9:C15)</f>
        <v>311981</v>
      </c>
    </row>
    <row r="25" spans="1:4" ht="20.100000000000001" customHeight="1">
      <c r="A25" s="54" t="s">
        <v>153</v>
      </c>
      <c r="B25" s="54"/>
      <c r="C25" s="54"/>
      <c r="D25" s="35">
        <f>SUM(C16:C21)</f>
        <v>299298</v>
      </c>
    </row>
    <row r="26" spans="1:4" ht="20.100000000000001" customHeight="1">
      <c r="A26" s="53" t="s">
        <v>154</v>
      </c>
      <c r="B26" s="53"/>
      <c r="C26" s="53"/>
      <c r="D26" s="33">
        <f>AVERAGE(C2:C21)</f>
        <v>48184.35</v>
      </c>
    </row>
    <row r="27" spans="1:4" ht="20.100000000000001" customHeight="1">
      <c r="A27" s="53" t="s">
        <v>144</v>
      </c>
      <c r="B27" s="53"/>
      <c r="C27" s="53"/>
      <c r="D27" s="34">
        <f>COUNTA(A2:A21)</f>
        <v>20</v>
      </c>
    </row>
  </sheetData>
  <sortState xmlns:xlrd2="http://schemas.microsoft.com/office/spreadsheetml/2017/richdata2" ref="A2:C21">
    <sortCondition ref="B2:B21"/>
  </sortState>
  <mergeCells count="9">
    <mergeCell ref="S11:Y11"/>
    <mergeCell ref="S12:Y12"/>
    <mergeCell ref="S13:Y13"/>
    <mergeCell ref="U10:W10"/>
    <mergeCell ref="A27:C27"/>
    <mergeCell ref="A23:C23"/>
    <mergeCell ref="A24:C24"/>
    <mergeCell ref="A25:C25"/>
    <mergeCell ref="A26:C26"/>
  </mergeCells>
  <pageMargins left="0.7" right="0.7" top="0.75" bottom="0.75" header="0.3" footer="0.3"/>
  <ignoredErrors>
    <ignoredError sqref="D23:D2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06F1-11A2-4F29-806A-7BAB9DFF8392}">
  <dimension ref="A1:W21"/>
  <sheetViews>
    <sheetView tabSelected="1" workbookViewId="0">
      <selection activeCell="K7" sqref="K7"/>
    </sheetView>
  </sheetViews>
  <sheetFormatPr defaultRowHeight="15"/>
  <cols>
    <col min="1" max="1" width="12.42578125" customWidth="1"/>
    <col min="7" max="7" width="10.5703125" customWidth="1"/>
  </cols>
  <sheetData>
    <row r="1" spans="1:23" ht="37.5">
      <c r="A1" s="29" t="s">
        <v>88</v>
      </c>
      <c r="B1" s="29" t="s">
        <v>157</v>
      </c>
      <c r="C1" s="29" t="s">
        <v>158</v>
      </c>
      <c r="D1" s="29" t="s">
        <v>159</v>
      </c>
      <c r="E1" s="29" t="s">
        <v>160</v>
      </c>
      <c r="F1" s="29" t="s">
        <v>161</v>
      </c>
      <c r="G1" s="36" t="s">
        <v>165</v>
      </c>
      <c r="H1" s="36" t="s">
        <v>166</v>
      </c>
    </row>
    <row r="2" spans="1:23" ht="18.75">
      <c r="A2" s="30" t="s">
        <v>93</v>
      </c>
      <c r="B2" s="30" t="s">
        <v>162</v>
      </c>
      <c r="C2" s="30" t="s">
        <v>163</v>
      </c>
      <c r="D2" s="30" t="s">
        <v>162</v>
      </c>
      <c r="E2" s="30" t="s">
        <v>162</v>
      </c>
      <c r="F2" s="30" t="s">
        <v>162</v>
      </c>
      <c r="G2" s="37">
        <f>COUNTIF(B2:F2,"p")</f>
        <v>4</v>
      </c>
      <c r="H2" s="37">
        <f>COUNTIF(B2:F2,"A")</f>
        <v>1</v>
      </c>
    </row>
    <row r="3" spans="1:23" ht="18.75">
      <c r="A3" s="30" t="s">
        <v>94</v>
      </c>
      <c r="B3" s="30" t="s">
        <v>162</v>
      </c>
      <c r="C3" s="30" t="s">
        <v>162</v>
      </c>
      <c r="D3" s="30" t="s">
        <v>162</v>
      </c>
      <c r="E3" s="30" t="s">
        <v>163</v>
      </c>
      <c r="F3" s="30" t="s">
        <v>162</v>
      </c>
      <c r="G3" s="37">
        <f t="shared" ref="G3:G21" si="0">COUNTIF(B3:F3,"p")</f>
        <v>4</v>
      </c>
      <c r="H3" s="37">
        <f t="shared" ref="H3:H21" si="1">COUNTIF(B3:F3,"A")</f>
        <v>1</v>
      </c>
    </row>
    <row r="4" spans="1:23" ht="18.75">
      <c r="A4" s="30" t="s">
        <v>95</v>
      </c>
      <c r="B4" s="30" t="s">
        <v>163</v>
      </c>
      <c r="C4" s="30" t="s">
        <v>162</v>
      </c>
      <c r="D4" s="30" t="s">
        <v>162</v>
      </c>
      <c r="E4" s="30" t="s">
        <v>162</v>
      </c>
      <c r="F4" s="30" t="s">
        <v>162</v>
      </c>
      <c r="G4" s="37">
        <f t="shared" si="0"/>
        <v>4</v>
      </c>
      <c r="H4" s="37">
        <f t="shared" si="1"/>
        <v>1</v>
      </c>
    </row>
    <row r="5" spans="1:23" ht="18.75">
      <c r="A5" s="30" t="s">
        <v>96</v>
      </c>
      <c r="B5" s="30" t="s">
        <v>162</v>
      </c>
      <c r="C5" s="30" t="s">
        <v>163</v>
      </c>
      <c r="D5" s="30" t="s">
        <v>163</v>
      </c>
      <c r="E5" s="30" t="s">
        <v>162</v>
      </c>
      <c r="F5" s="30" t="s">
        <v>163</v>
      </c>
      <c r="G5" s="37">
        <f t="shared" si="0"/>
        <v>2</v>
      </c>
      <c r="H5" s="37">
        <f t="shared" si="1"/>
        <v>3</v>
      </c>
    </row>
    <row r="6" spans="1:23" ht="18.75">
      <c r="A6" s="15" t="s">
        <v>71</v>
      </c>
      <c r="B6" s="30" t="s">
        <v>162</v>
      </c>
      <c r="C6" s="30" t="s">
        <v>162</v>
      </c>
      <c r="D6" s="30" t="s">
        <v>162</v>
      </c>
      <c r="E6" s="30" t="s">
        <v>162</v>
      </c>
      <c r="F6" s="30" t="s">
        <v>162</v>
      </c>
      <c r="G6" s="37">
        <f t="shared" si="0"/>
        <v>5</v>
      </c>
      <c r="H6" s="37">
        <f t="shared" si="1"/>
        <v>0</v>
      </c>
    </row>
    <row r="7" spans="1:23" ht="18.75">
      <c r="A7" s="15" t="s">
        <v>98</v>
      </c>
      <c r="B7" s="30" t="s">
        <v>162</v>
      </c>
      <c r="C7" s="30" t="s">
        <v>162</v>
      </c>
      <c r="D7" s="30" t="s">
        <v>163</v>
      </c>
      <c r="E7" s="30" t="s">
        <v>162</v>
      </c>
      <c r="F7" s="30" t="s">
        <v>163</v>
      </c>
      <c r="G7" s="37">
        <f t="shared" si="0"/>
        <v>3</v>
      </c>
      <c r="H7" s="37">
        <f t="shared" si="1"/>
        <v>2</v>
      </c>
      <c r="K7">
        <v>0</v>
      </c>
    </row>
    <row r="8" spans="1:23" ht="18.75">
      <c r="A8" s="15" t="s">
        <v>99</v>
      </c>
      <c r="B8" s="30" t="s">
        <v>163</v>
      </c>
      <c r="C8" s="30" t="s">
        <v>162</v>
      </c>
      <c r="D8" s="30" t="s">
        <v>162</v>
      </c>
      <c r="E8" s="30" t="s">
        <v>163</v>
      </c>
      <c r="F8" s="30" t="s">
        <v>162</v>
      </c>
      <c r="G8" s="37">
        <f t="shared" si="0"/>
        <v>3</v>
      </c>
      <c r="H8" s="37">
        <f t="shared" si="1"/>
        <v>2</v>
      </c>
    </row>
    <row r="9" spans="1:23" ht="18.75">
      <c r="A9" s="15" t="s">
        <v>100</v>
      </c>
      <c r="B9" s="30" t="s">
        <v>162</v>
      </c>
      <c r="C9" s="30" t="s">
        <v>163</v>
      </c>
      <c r="D9" s="30" t="s">
        <v>162</v>
      </c>
      <c r="E9" s="30" t="s">
        <v>162</v>
      </c>
      <c r="F9" s="30" t="s">
        <v>162</v>
      </c>
      <c r="G9" s="37">
        <f t="shared" si="0"/>
        <v>4</v>
      </c>
      <c r="H9" s="37">
        <f t="shared" si="1"/>
        <v>1</v>
      </c>
    </row>
    <row r="10" spans="1:23" ht="18.75">
      <c r="A10" s="15" t="s">
        <v>101</v>
      </c>
      <c r="B10" s="30" t="s">
        <v>162</v>
      </c>
      <c r="C10" s="30" t="s">
        <v>162</v>
      </c>
      <c r="D10" s="30" t="s">
        <v>162</v>
      </c>
      <c r="E10" s="30" t="s">
        <v>162</v>
      </c>
      <c r="F10" s="30" t="s">
        <v>162</v>
      </c>
      <c r="G10" s="37">
        <f t="shared" si="0"/>
        <v>5</v>
      </c>
      <c r="H10" s="37">
        <f t="shared" si="1"/>
        <v>0</v>
      </c>
    </row>
    <row r="11" spans="1:23" ht="18.75">
      <c r="A11" s="15" t="s">
        <v>102</v>
      </c>
      <c r="B11" s="30" t="s">
        <v>162</v>
      </c>
      <c r="C11" s="30" t="s">
        <v>162</v>
      </c>
      <c r="D11" s="30" t="s">
        <v>163</v>
      </c>
      <c r="E11" s="30" t="s">
        <v>162</v>
      </c>
      <c r="F11" s="30" t="s">
        <v>162</v>
      </c>
      <c r="G11" s="37">
        <f t="shared" si="0"/>
        <v>4</v>
      </c>
      <c r="H11" s="37">
        <f t="shared" si="1"/>
        <v>1</v>
      </c>
    </row>
    <row r="12" spans="1:23" ht="18.75">
      <c r="A12" s="15" t="s">
        <v>80</v>
      </c>
      <c r="B12" s="30" t="s">
        <v>163</v>
      </c>
      <c r="C12" s="30" t="s">
        <v>162</v>
      </c>
      <c r="D12" s="30" t="s">
        <v>162</v>
      </c>
      <c r="E12" s="30" t="s">
        <v>163</v>
      </c>
      <c r="F12" s="30" t="s">
        <v>163</v>
      </c>
      <c r="G12" s="37">
        <f t="shared" si="0"/>
        <v>2</v>
      </c>
      <c r="H12" s="37">
        <f t="shared" si="1"/>
        <v>3</v>
      </c>
    </row>
    <row r="13" spans="1:23" ht="20.100000000000001" customHeight="1">
      <c r="A13" s="15" t="s">
        <v>103</v>
      </c>
      <c r="B13" s="30" t="s">
        <v>162</v>
      </c>
      <c r="C13" s="30" t="s">
        <v>163</v>
      </c>
      <c r="D13" s="30" t="s">
        <v>162</v>
      </c>
      <c r="E13" s="30" t="s">
        <v>162</v>
      </c>
      <c r="F13" s="30" t="s">
        <v>162</v>
      </c>
      <c r="G13" s="37">
        <f t="shared" si="0"/>
        <v>4</v>
      </c>
      <c r="H13" s="37">
        <f t="shared" si="1"/>
        <v>1</v>
      </c>
      <c r="S13" s="50" t="s">
        <v>155</v>
      </c>
      <c r="T13" s="50"/>
      <c r="U13" s="50"/>
      <c r="V13" s="50"/>
      <c r="W13" s="50"/>
    </row>
    <row r="14" spans="1:23" ht="20.100000000000001" customHeight="1">
      <c r="A14" s="15" t="s">
        <v>104</v>
      </c>
      <c r="B14" s="30" t="s">
        <v>162</v>
      </c>
      <c r="C14" s="30" t="s">
        <v>162</v>
      </c>
      <c r="D14" s="30" t="s">
        <v>162</v>
      </c>
      <c r="E14" s="30" t="s">
        <v>162</v>
      </c>
      <c r="F14" s="30" t="s">
        <v>162</v>
      </c>
      <c r="G14" s="37">
        <f t="shared" si="0"/>
        <v>5</v>
      </c>
      <c r="H14" s="37">
        <f t="shared" si="1"/>
        <v>0</v>
      </c>
      <c r="S14" s="50" t="s">
        <v>156</v>
      </c>
      <c r="T14" s="50"/>
      <c r="U14" s="50"/>
      <c r="V14" s="50"/>
      <c r="W14" s="50"/>
    </row>
    <row r="15" spans="1:23" ht="18.75">
      <c r="A15" s="15" t="s">
        <v>72</v>
      </c>
      <c r="B15" s="30" t="s">
        <v>162</v>
      </c>
      <c r="C15" s="30" t="s">
        <v>162</v>
      </c>
      <c r="D15" s="30" t="s">
        <v>163</v>
      </c>
      <c r="E15" s="30" t="s">
        <v>162</v>
      </c>
      <c r="F15" s="30" t="s">
        <v>162</v>
      </c>
      <c r="G15" s="37">
        <f t="shared" si="0"/>
        <v>4</v>
      </c>
      <c r="H15" s="37">
        <f t="shared" si="1"/>
        <v>1</v>
      </c>
    </row>
    <row r="16" spans="1:23" ht="18.75">
      <c r="A16" s="15" t="s">
        <v>105</v>
      </c>
      <c r="B16" s="30" t="s">
        <v>163</v>
      </c>
      <c r="C16" s="30" t="s">
        <v>162</v>
      </c>
      <c r="D16" s="30" t="s">
        <v>162</v>
      </c>
      <c r="E16" s="30" t="s">
        <v>163</v>
      </c>
      <c r="F16" s="30" t="s">
        <v>162</v>
      </c>
      <c r="G16" s="37">
        <f t="shared" si="0"/>
        <v>3</v>
      </c>
      <c r="H16" s="37">
        <f t="shared" si="1"/>
        <v>2</v>
      </c>
    </row>
    <row r="17" spans="1:8" ht="18.75">
      <c r="A17" s="15" t="s">
        <v>106</v>
      </c>
      <c r="B17" s="30" t="s">
        <v>162</v>
      </c>
      <c r="C17" s="30" t="s">
        <v>163</v>
      </c>
      <c r="D17" s="30" t="s">
        <v>162</v>
      </c>
      <c r="E17" s="30" t="s">
        <v>162</v>
      </c>
      <c r="F17" s="30" t="s">
        <v>163</v>
      </c>
      <c r="G17" s="37">
        <f t="shared" si="0"/>
        <v>3</v>
      </c>
      <c r="H17" s="37">
        <f t="shared" si="1"/>
        <v>2</v>
      </c>
    </row>
    <row r="18" spans="1:8" ht="18.75">
      <c r="A18" s="15" t="s">
        <v>107</v>
      </c>
      <c r="B18" s="30" t="s">
        <v>162</v>
      </c>
      <c r="C18" s="30" t="s">
        <v>162</v>
      </c>
      <c r="D18" s="30" t="s">
        <v>162</v>
      </c>
      <c r="E18" s="30" t="s">
        <v>162</v>
      </c>
      <c r="F18" s="30" t="s">
        <v>162</v>
      </c>
      <c r="G18" s="37">
        <f t="shared" si="0"/>
        <v>5</v>
      </c>
      <c r="H18" s="37">
        <f t="shared" si="1"/>
        <v>0</v>
      </c>
    </row>
    <row r="19" spans="1:8" ht="18.75">
      <c r="A19" s="15" t="s">
        <v>74</v>
      </c>
      <c r="B19" s="30" t="s">
        <v>162</v>
      </c>
      <c r="C19" s="30" t="s">
        <v>162</v>
      </c>
      <c r="D19" s="30" t="s">
        <v>163</v>
      </c>
      <c r="E19" s="30" t="s">
        <v>162</v>
      </c>
      <c r="F19" s="30" t="s">
        <v>162</v>
      </c>
      <c r="G19" s="37">
        <f t="shared" si="0"/>
        <v>4</v>
      </c>
      <c r="H19" s="37">
        <f t="shared" si="1"/>
        <v>1</v>
      </c>
    </row>
    <row r="20" spans="1:8" ht="18.75">
      <c r="A20" s="15" t="s">
        <v>108</v>
      </c>
      <c r="B20" s="30" t="s">
        <v>163</v>
      </c>
      <c r="C20" s="30" t="s">
        <v>162</v>
      </c>
      <c r="D20" s="30" t="s">
        <v>162</v>
      </c>
      <c r="E20" s="30" t="s">
        <v>163</v>
      </c>
      <c r="F20" s="30" t="s">
        <v>162</v>
      </c>
      <c r="G20" s="37">
        <f t="shared" si="0"/>
        <v>3</v>
      </c>
      <c r="H20" s="37">
        <f t="shared" si="1"/>
        <v>2</v>
      </c>
    </row>
    <row r="21" spans="1:8" ht="18.75">
      <c r="A21" s="15" t="s">
        <v>164</v>
      </c>
      <c r="B21" s="30" t="s">
        <v>162</v>
      </c>
      <c r="C21" s="30" t="s">
        <v>163</v>
      </c>
      <c r="D21" s="30" t="s">
        <v>162</v>
      </c>
      <c r="E21" s="30" t="s">
        <v>162</v>
      </c>
      <c r="F21" s="30" t="s">
        <v>162</v>
      </c>
      <c r="G21" s="37">
        <f t="shared" si="0"/>
        <v>4</v>
      </c>
      <c r="H21" s="37">
        <f t="shared" si="1"/>
        <v>1</v>
      </c>
    </row>
  </sheetData>
  <mergeCells count="2">
    <mergeCell ref="S13:W13"/>
    <mergeCell ref="S14:W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79C1-90C2-476B-B59E-5B419D4FC81A}">
  <dimension ref="A1:V24"/>
  <sheetViews>
    <sheetView workbookViewId="0">
      <selection activeCell="L23" sqref="L23"/>
    </sheetView>
  </sheetViews>
  <sheetFormatPr defaultRowHeight="15"/>
  <cols>
    <col min="2" max="2" width="11" customWidth="1"/>
  </cols>
  <sheetData>
    <row r="1" spans="1:22" ht="51.75" customHeight="1">
      <c r="A1" s="29" t="s">
        <v>169</v>
      </c>
      <c r="B1" s="29" t="s">
        <v>56</v>
      </c>
    </row>
    <row r="2" spans="1:22" ht="17.25">
      <c r="A2" s="15" t="s">
        <v>170</v>
      </c>
      <c r="B2" s="15">
        <v>4500</v>
      </c>
    </row>
    <row r="3" spans="1:22" ht="17.25">
      <c r="A3" s="15" t="s">
        <v>171</v>
      </c>
      <c r="B3" s="15">
        <v>12000</v>
      </c>
    </row>
    <row r="4" spans="1:22" ht="17.25">
      <c r="A4" s="15" t="s">
        <v>172</v>
      </c>
      <c r="B4" s="15">
        <v>8000</v>
      </c>
    </row>
    <row r="5" spans="1:22" ht="17.25">
      <c r="A5" s="15" t="s">
        <v>173</v>
      </c>
      <c r="B5" s="15">
        <v>25000</v>
      </c>
    </row>
    <row r="6" spans="1:22" ht="17.25">
      <c r="A6" s="15" t="s">
        <v>174</v>
      </c>
      <c r="B6" s="15">
        <v>3000</v>
      </c>
    </row>
    <row r="7" spans="1:22" ht="17.25">
      <c r="A7" s="15" t="s">
        <v>175</v>
      </c>
      <c r="B7" s="15">
        <v>15000</v>
      </c>
    </row>
    <row r="8" spans="1:22" ht="17.25">
      <c r="A8" s="15" t="s">
        <v>176</v>
      </c>
      <c r="B8" s="38">
        <v>8995</v>
      </c>
    </row>
    <row r="9" spans="1:22" ht="17.25">
      <c r="A9" s="15" t="s">
        <v>177</v>
      </c>
      <c r="B9" s="38">
        <v>13204</v>
      </c>
    </row>
    <row r="10" spans="1:22" ht="17.25">
      <c r="A10" s="15" t="s">
        <v>178</v>
      </c>
      <c r="B10" s="38">
        <v>10278</v>
      </c>
    </row>
    <row r="11" spans="1:22" ht="17.25">
      <c r="A11" s="15" t="s">
        <v>179</v>
      </c>
      <c r="B11" s="38">
        <v>16566</v>
      </c>
    </row>
    <row r="12" spans="1:22" ht="17.25">
      <c r="A12" s="15" t="s">
        <v>180</v>
      </c>
      <c r="B12" s="38">
        <v>13929</v>
      </c>
    </row>
    <row r="13" spans="1:22" ht="17.25">
      <c r="A13" s="15" t="s">
        <v>181</v>
      </c>
      <c r="B13" s="38">
        <v>15634</v>
      </c>
    </row>
    <row r="14" spans="1:22" ht="17.25">
      <c r="A14" s="15" t="s">
        <v>182</v>
      </c>
      <c r="B14" s="38">
        <v>19460</v>
      </c>
    </row>
    <row r="15" spans="1:22" ht="17.25">
      <c r="A15" s="15" t="s">
        <v>183</v>
      </c>
      <c r="B15" s="38">
        <v>9563</v>
      </c>
    </row>
    <row r="16" spans="1:22" ht="18" customHeight="1">
      <c r="A16" s="15" t="s">
        <v>184</v>
      </c>
      <c r="B16" s="38">
        <v>23440</v>
      </c>
      <c r="Q16" s="50" t="s">
        <v>167</v>
      </c>
      <c r="R16" s="50"/>
      <c r="S16" s="50"/>
      <c r="T16" s="50"/>
      <c r="U16" s="50"/>
      <c r="V16" s="50"/>
    </row>
    <row r="17" spans="1:22" ht="18" customHeight="1">
      <c r="A17" s="15" t="s">
        <v>185</v>
      </c>
      <c r="B17" s="38">
        <v>4703</v>
      </c>
      <c r="Q17" s="50" t="s">
        <v>168</v>
      </c>
      <c r="R17" s="50"/>
      <c r="S17" s="50"/>
      <c r="T17" s="50"/>
      <c r="U17" s="50"/>
      <c r="V17" s="50"/>
    </row>
    <row r="18" spans="1:22" ht="17.25">
      <c r="A18" s="15" t="s">
        <v>186</v>
      </c>
      <c r="B18" s="38">
        <v>5840</v>
      </c>
    </row>
    <row r="19" spans="1:22" ht="17.25">
      <c r="A19" s="15" t="s">
        <v>187</v>
      </c>
      <c r="B19" s="38">
        <v>25966</v>
      </c>
    </row>
    <row r="20" spans="1:22" ht="17.25">
      <c r="A20" s="15" t="s">
        <v>188</v>
      </c>
      <c r="B20" s="38">
        <v>5744</v>
      </c>
    </row>
    <row r="21" spans="1:22" ht="17.25">
      <c r="A21" s="15" t="s">
        <v>189</v>
      </c>
      <c r="B21" s="38">
        <v>14857</v>
      </c>
    </row>
    <row r="23" spans="1:22" ht="20.25" customHeight="1">
      <c r="A23" s="55" t="s">
        <v>190</v>
      </c>
      <c r="B23" s="55"/>
      <c r="C23" s="55"/>
      <c r="D23" s="45">
        <f>COUNTIF(B2:B21, "&gt;10000")</f>
        <v>12</v>
      </c>
    </row>
    <row r="24" spans="1:22" ht="21">
      <c r="A24" s="56" t="s">
        <v>191</v>
      </c>
      <c r="B24" s="56"/>
      <c r="C24" s="56"/>
      <c r="D24" s="45">
        <f>COUNTIF(B2:B21, "&lt;5000")</f>
        <v>3</v>
      </c>
    </row>
  </sheetData>
  <mergeCells count="4">
    <mergeCell ref="Q16:V16"/>
    <mergeCell ref="Q17:V17"/>
    <mergeCell ref="A23:C23"/>
    <mergeCell ref="A24:C24"/>
  </mergeCells>
  <phoneticPr fontId="3" type="noConversion"/>
  <conditionalFormatting sqref="B2:B21">
    <cfRule type="cellIs" dxfId="10" priority="1" operator="lessThan">
      <formula>5000</formula>
    </cfRule>
    <cfRule type="cellIs" dxfId="9" priority="2" operator="lessThan">
      <formula>5000</formula>
    </cfRule>
    <cfRule type="cellIs" dxfId="8" priority="3" operator="greaterThan">
      <formula>10000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3A9D-75F7-4097-8887-58EC2DCA7667}">
  <dimension ref="A1:X16"/>
  <sheetViews>
    <sheetView workbookViewId="0">
      <selection activeCell="M21" sqref="M21"/>
    </sheetView>
  </sheetViews>
  <sheetFormatPr defaultRowHeight="15"/>
  <cols>
    <col min="1" max="1" width="15.42578125" customWidth="1"/>
    <col min="2" max="2" width="12" customWidth="1"/>
  </cols>
  <sheetData>
    <row r="1" spans="1:24" ht="34.5">
      <c r="A1" s="29" t="s">
        <v>194</v>
      </c>
      <c r="B1" s="29" t="s">
        <v>56</v>
      </c>
    </row>
    <row r="2" spans="1:24" ht="24.95" customHeight="1">
      <c r="A2" s="30" t="s">
        <v>195</v>
      </c>
      <c r="B2" s="15">
        <v>22000</v>
      </c>
    </row>
    <row r="3" spans="1:24" ht="24.95" customHeight="1">
      <c r="A3" s="30" t="s">
        <v>196</v>
      </c>
      <c r="B3" s="15">
        <v>3500</v>
      </c>
    </row>
    <row r="4" spans="1:24" ht="24.95" customHeight="1">
      <c r="A4" s="30" t="s">
        <v>197</v>
      </c>
      <c r="B4" s="15">
        <v>58000</v>
      </c>
    </row>
    <row r="5" spans="1:24" ht="24.95" customHeight="1">
      <c r="A5" s="30" t="s">
        <v>198</v>
      </c>
      <c r="B5" s="15">
        <v>1800</v>
      </c>
    </row>
    <row r="6" spans="1:24" ht="24.95" customHeight="1">
      <c r="A6" s="30" t="s">
        <v>199</v>
      </c>
      <c r="B6" s="15">
        <v>12000</v>
      </c>
    </row>
    <row r="7" spans="1:24" ht="24.95" customHeight="1">
      <c r="A7" s="30" t="s">
        <v>195</v>
      </c>
      <c r="B7" s="38">
        <v>2001</v>
      </c>
    </row>
    <row r="8" spans="1:24" ht="24.95" customHeight="1">
      <c r="A8" s="30" t="s">
        <v>196</v>
      </c>
      <c r="B8" s="38">
        <v>20086</v>
      </c>
    </row>
    <row r="9" spans="1:24" ht="24.95" customHeight="1">
      <c r="A9" s="30" t="s">
        <v>197</v>
      </c>
      <c r="B9" s="38">
        <v>10161</v>
      </c>
    </row>
    <row r="10" spans="1:24" ht="24.95" customHeight="1">
      <c r="A10" s="30" t="s">
        <v>198</v>
      </c>
      <c r="B10" s="38">
        <v>38531</v>
      </c>
    </row>
    <row r="11" spans="1:24" ht="24.95" customHeight="1">
      <c r="A11" s="30" t="s">
        <v>199</v>
      </c>
      <c r="B11" s="38">
        <v>42758</v>
      </c>
    </row>
    <row r="12" spans="1:24" ht="24.95" customHeight="1">
      <c r="A12" s="30" t="s">
        <v>195</v>
      </c>
      <c r="B12" s="38">
        <v>6958</v>
      </c>
      <c r="S12" s="50" t="s">
        <v>192</v>
      </c>
      <c r="T12" s="50"/>
      <c r="U12" s="50"/>
      <c r="V12" s="50"/>
      <c r="W12" s="50"/>
      <c r="X12" s="50"/>
    </row>
    <row r="13" spans="1:24" ht="24.95" customHeight="1">
      <c r="A13" s="30" t="s">
        <v>196</v>
      </c>
      <c r="B13" s="38">
        <v>52570</v>
      </c>
      <c r="S13" s="50" t="s">
        <v>193</v>
      </c>
      <c r="T13" s="50"/>
      <c r="U13" s="50"/>
      <c r="V13" s="50"/>
      <c r="W13" s="50"/>
      <c r="X13" s="50"/>
    </row>
    <row r="14" spans="1:24" ht="24.95" customHeight="1">
      <c r="A14" s="30" t="s">
        <v>197</v>
      </c>
      <c r="B14" s="38">
        <v>27250</v>
      </c>
    </row>
    <row r="15" spans="1:24" ht="24.95" customHeight="1">
      <c r="A15" s="30" t="s">
        <v>198</v>
      </c>
      <c r="B15" s="38">
        <v>46117</v>
      </c>
    </row>
    <row r="16" spans="1:24" ht="24.95" customHeight="1">
      <c r="A16" s="30" t="s">
        <v>199</v>
      </c>
      <c r="B16" s="38">
        <v>26382</v>
      </c>
    </row>
  </sheetData>
  <mergeCells count="2">
    <mergeCell ref="S12:X12"/>
    <mergeCell ref="S13:X13"/>
  </mergeCells>
  <conditionalFormatting sqref="B2:B16">
    <cfRule type="cellIs" dxfId="7" priority="1" operator="lessThan">
      <formula>5000</formula>
    </cfRule>
    <cfRule type="cellIs" dxfId="6" priority="2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E0CF-1674-4697-81D2-8903BB8D24F4}">
  <dimension ref="A1:W22"/>
  <sheetViews>
    <sheetView workbookViewId="0">
      <selection activeCell="B8" sqref="B8:B21"/>
    </sheetView>
  </sheetViews>
  <sheetFormatPr defaultRowHeight="15"/>
  <cols>
    <col min="2" max="2" width="10.85546875" customWidth="1"/>
  </cols>
  <sheetData>
    <row r="1" spans="1:23" ht="17.25">
      <c r="A1" s="29" t="s">
        <v>87</v>
      </c>
      <c r="B1" s="29" t="s">
        <v>1</v>
      </c>
      <c r="C1" s="29" t="s">
        <v>202</v>
      </c>
    </row>
    <row r="2" spans="1:23" ht="24.95" customHeight="1">
      <c r="A2" s="30">
        <v>1</v>
      </c>
      <c r="B2" s="30" t="s">
        <v>149</v>
      </c>
      <c r="C2" s="15">
        <v>85</v>
      </c>
    </row>
    <row r="3" spans="1:23" ht="24.95" customHeight="1">
      <c r="A3" s="30">
        <v>2</v>
      </c>
      <c r="B3" s="30" t="s">
        <v>203</v>
      </c>
      <c r="C3" s="15">
        <v>72</v>
      </c>
    </row>
    <row r="4" spans="1:23" ht="24.95" customHeight="1">
      <c r="A4" s="30">
        <v>3</v>
      </c>
      <c r="B4" s="30" t="s">
        <v>204</v>
      </c>
      <c r="C4" s="15">
        <v>39</v>
      </c>
    </row>
    <row r="5" spans="1:23" ht="24.95" customHeight="1">
      <c r="A5" s="30">
        <v>4</v>
      </c>
      <c r="B5" s="30" t="s">
        <v>205</v>
      </c>
      <c r="C5" s="15">
        <v>91</v>
      </c>
    </row>
    <row r="6" spans="1:23" ht="24.95" customHeight="1">
      <c r="A6" s="30">
        <v>5</v>
      </c>
      <c r="B6" s="30" t="s">
        <v>206</v>
      </c>
      <c r="C6" s="15">
        <v>28</v>
      </c>
    </row>
    <row r="7" spans="1:23" ht="24.95" customHeight="1">
      <c r="A7" s="30">
        <v>6</v>
      </c>
      <c r="B7" s="15" t="s">
        <v>95</v>
      </c>
      <c r="C7" s="38">
        <f ca="1">RANDBETWEEN(30,95)</f>
        <v>49</v>
      </c>
    </row>
    <row r="8" spans="1:23" ht="24.95" customHeight="1">
      <c r="A8" s="30">
        <v>7</v>
      </c>
      <c r="B8" s="15" t="s">
        <v>96</v>
      </c>
      <c r="C8" s="38">
        <f t="shared" ref="C8:C21" ca="1" si="0">RANDBETWEEN(30,95)</f>
        <v>95</v>
      </c>
    </row>
    <row r="9" spans="1:23" ht="24.95" customHeight="1">
      <c r="A9" s="30">
        <v>8</v>
      </c>
      <c r="B9" s="15" t="s">
        <v>97</v>
      </c>
      <c r="C9" s="38">
        <f t="shared" ca="1" si="0"/>
        <v>54</v>
      </c>
    </row>
    <row r="10" spans="1:23" ht="24.95" customHeight="1">
      <c r="A10" s="30">
        <v>9</v>
      </c>
      <c r="B10" s="15" t="s">
        <v>71</v>
      </c>
      <c r="C10" s="38">
        <f t="shared" ca="1" si="0"/>
        <v>43</v>
      </c>
    </row>
    <row r="11" spans="1:23" ht="24.95" customHeight="1">
      <c r="A11" s="30">
        <v>10</v>
      </c>
      <c r="B11" s="15" t="s">
        <v>98</v>
      </c>
      <c r="C11" s="38">
        <f t="shared" ca="1" si="0"/>
        <v>80</v>
      </c>
    </row>
    <row r="12" spans="1:23" ht="24.95" customHeight="1">
      <c r="A12" s="30">
        <v>11</v>
      </c>
      <c r="B12" s="15" t="s">
        <v>99</v>
      </c>
      <c r="C12" s="38">
        <f t="shared" ca="1" si="0"/>
        <v>56</v>
      </c>
      <c r="S12" s="50" t="s">
        <v>200</v>
      </c>
      <c r="T12" s="50"/>
      <c r="U12" s="50"/>
      <c r="V12" s="50"/>
      <c r="W12" s="50"/>
    </row>
    <row r="13" spans="1:23" ht="24.95" customHeight="1">
      <c r="A13" s="30">
        <v>12</v>
      </c>
      <c r="B13" s="15" t="s">
        <v>100</v>
      </c>
      <c r="C13" s="38">
        <f t="shared" ca="1" si="0"/>
        <v>52</v>
      </c>
      <c r="S13" s="50" t="s">
        <v>201</v>
      </c>
      <c r="T13" s="50"/>
      <c r="U13" s="50"/>
      <c r="V13" s="50"/>
      <c r="W13" s="50"/>
    </row>
    <row r="14" spans="1:23" ht="24.95" customHeight="1">
      <c r="A14" s="30">
        <v>13</v>
      </c>
      <c r="B14" s="15" t="s">
        <v>101</v>
      </c>
      <c r="C14" s="38">
        <f t="shared" ca="1" si="0"/>
        <v>73</v>
      </c>
    </row>
    <row r="15" spans="1:23" ht="24.95" customHeight="1">
      <c r="A15" s="30">
        <v>14</v>
      </c>
      <c r="B15" s="15" t="s">
        <v>102</v>
      </c>
      <c r="C15" s="38">
        <f t="shared" ca="1" si="0"/>
        <v>84</v>
      </c>
    </row>
    <row r="16" spans="1:23" ht="24.95" customHeight="1">
      <c r="A16" s="30">
        <v>15</v>
      </c>
      <c r="B16" s="15" t="s">
        <v>80</v>
      </c>
      <c r="C16" s="38">
        <f t="shared" ca="1" si="0"/>
        <v>55</v>
      </c>
    </row>
    <row r="17" spans="1:3" ht="24.95" customHeight="1">
      <c r="A17" s="30">
        <v>16</v>
      </c>
      <c r="B17" s="15" t="s">
        <v>103</v>
      </c>
      <c r="C17" s="38">
        <f t="shared" ca="1" si="0"/>
        <v>92</v>
      </c>
    </row>
    <row r="18" spans="1:3" ht="24.95" customHeight="1">
      <c r="A18" s="30">
        <v>17</v>
      </c>
      <c r="B18" s="15" t="s">
        <v>104</v>
      </c>
      <c r="C18" s="38">
        <f t="shared" ca="1" si="0"/>
        <v>85</v>
      </c>
    </row>
    <row r="19" spans="1:3" ht="24.95" customHeight="1">
      <c r="A19" s="30">
        <v>18</v>
      </c>
      <c r="B19" s="15" t="s">
        <v>72</v>
      </c>
      <c r="C19" s="38">
        <f t="shared" ca="1" si="0"/>
        <v>78</v>
      </c>
    </row>
    <row r="20" spans="1:3" ht="24.95" customHeight="1">
      <c r="A20" s="30">
        <v>19</v>
      </c>
      <c r="B20" s="15" t="s">
        <v>105</v>
      </c>
      <c r="C20" s="38">
        <f t="shared" ca="1" si="0"/>
        <v>80</v>
      </c>
    </row>
    <row r="21" spans="1:3" ht="24.95" customHeight="1">
      <c r="A21" s="30">
        <v>20</v>
      </c>
      <c r="B21" s="15" t="s">
        <v>106</v>
      </c>
      <c r="C21" s="38">
        <f t="shared" ca="1" si="0"/>
        <v>47</v>
      </c>
    </row>
    <row r="22" spans="1:3" ht="24.95" customHeight="1"/>
  </sheetData>
  <mergeCells count="2">
    <mergeCell ref="S12:W12"/>
    <mergeCell ref="S13:W13"/>
  </mergeCells>
  <conditionalFormatting sqref="C2:C21">
    <cfRule type="cellIs" dxfId="5" priority="1" operator="lessThan">
      <formula>40</formula>
    </cfRule>
    <cfRule type="cellIs" dxfId="4" priority="2" operator="greaterThan">
      <formula>75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E1CA-7806-485E-8A75-D887D8E52BC1}">
  <dimension ref="A1:W20"/>
  <sheetViews>
    <sheetView workbookViewId="0">
      <selection activeCell="P9" sqref="P9"/>
    </sheetView>
  </sheetViews>
  <sheetFormatPr defaultRowHeight="15"/>
  <cols>
    <col min="1" max="1" width="13.5703125" customWidth="1"/>
  </cols>
  <sheetData>
    <row r="1" spans="1:23" ht="34.5">
      <c r="A1" s="29" t="s">
        <v>145</v>
      </c>
      <c r="B1" s="29" t="s">
        <v>3</v>
      </c>
    </row>
    <row r="2" spans="1:23" ht="30" customHeight="1">
      <c r="A2" s="15" t="s">
        <v>210</v>
      </c>
      <c r="B2" s="15">
        <v>28000</v>
      </c>
    </row>
    <row r="3" spans="1:23" ht="30" customHeight="1">
      <c r="A3" s="15" t="s">
        <v>211</v>
      </c>
      <c r="B3" s="15">
        <v>34000</v>
      </c>
    </row>
    <row r="4" spans="1:23" ht="30" customHeight="1">
      <c r="A4" s="15" t="s">
        <v>212</v>
      </c>
      <c r="B4" s="15">
        <v>51000</v>
      </c>
    </row>
    <row r="5" spans="1:23" ht="30" customHeight="1">
      <c r="A5" s="15" t="s">
        <v>213</v>
      </c>
      <c r="B5" s="15">
        <v>47000</v>
      </c>
    </row>
    <row r="6" spans="1:23" ht="30" customHeight="1">
      <c r="A6" s="15" t="s">
        <v>214</v>
      </c>
      <c r="B6" s="15">
        <v>29000</v>
      </c>
    </row>
    <row r="7" spans="1:23" ht="30" customHeight="1">
      <c r="A7" s="15" t="s">
        <v>96</v>
      </c>
      <c r="B7" s="47">
        <v>45994</v>
      </c>
    </row>
    <row r="8" spans="1:23" ht="30" customHeight="1">
      <c r="A8" s="15" t="s">
        <v>97</v>
      </c>
      <c r="B8" s="47">
        <v>41150</v>
      </c>
    </row>
    <row r="9" spans="1:23" ht="30" customHeight="1">
      <c r="A9" s="15" t="s">
        <v>71</v>
      </c>
      <c r="B9" s="47">
        <v>44125</v>
      </c>
    </row>
    <row r="10" spans="1:23" ht="30" customHeight="1">
      <c r="A10" s="15" t="s">
        <v>98</v>
      </c>
      <c r="B10" s="47">
        <v>36420</v>
      </c>
    </row>
    <row r="11" spans="1:23" ht="30" customHeight="1">
      <c r="A11" s="15" t="s">
        <v>99</v>
      </c>
      <c r="B11" s="47">
        <v>38040</v>
      </c>
    </row>
    <row r="12" spans="1:23" ht="30" customHeight="1">
      <c r="A12" s="15" t="s">
        <v>100</v>
      </c>
      <c r="B12" s="47">
        <v>59619</v>
      </c>
      <c r="S12" s="50" t="s">
        <v>207</v>
      </c>
      <c r="T12" s="50"/>
      <c r="U12" s="50"/>
      <c r="V12" s="50"/>
      <c r="W12" s="50"/>
    </row>
    <row r="13" spans="1:23" ht="30" customHeight="1">
      <c r="A13" s="15" t="s">
        <v>101</v>
      </c>
      <c r="B13" s="47">
        <v>55028</v>
      </c>
      <c r="S13" s="50" t="s">
        <v>208</v>
      </c>
      <c r="T13" s="50"/>
      <c r="U13" s="50"/>
      <c r="V13" s="50"/>
      <c r="W13" s="50"/>
    </row>
    <row r="14" spans="1:23" ht="30" customHeight="1">
      <c r="A14" s="15" t="s">
        <v>102</v>
      </c>
      <c r="B14" s="47">
        <v>50667</v>
      </c>
      <c r="S14" s="50" t="s">
        <v>209</v>
      </c>
      <c r="T14" s="50"/>
      <c r="U14" s="50"/>
      <c r="V14" s="50"/>
      <c r="W14" s="50"/>
    </row>
    <row r="15" spans="1:23" ht="30" customHeight="1">
      <c r="A15" s="15" t="s">
        <v>80</v>
      </c>
      <c r="B15" s="47">
        <v>38189</v>
      </c>
    </row>
    <row r="16" spans="1:23" ht="30" customHeight="1">
      <c r="A16" s="15" t="s">
        <v>103</v>
      </c>
      <c r="B16" s="47">
        <v>52553</v>
      </c>
    </row>
    <row r="17" spans="1:2" ht="30" customHeight="1">
      <c r="A17" s="15" t="s">
        <v>104</v>
      </c>
      <c r="B17" s="47">
        <v>59487</v>
      </c>
    </row>
    <row r="18" spans="1:2" ht="30" customHeight="1">
      <c r="A18" s="15" t="s">
        <v>72</v>
      </c>
      <c r="B18" s="47">
        <v>49755</v>
      </c>
    </row>
    <row r="19" spans="1:2" ht="30" customHeight="1">
      <c r="A19" s="15" t="s">
        <v>105</v>
      </c>
      <c r="B19" s="47">
        <v>42257</v>
      </c>
    </row>
    <row r="20" spans="1:2" ht="30" customHeight="1">
      <c r="A20" s="15" t="s">
        <v>106</v>
      </c>
      <c r="B20" s="47">
        <v>47405</v>
      </c>
    </row>
  </sheetData>
  <mergeCells count="3">
    <mergeCell ref="S12:W12"/>
    <mergeCell ref="S13:W13"/>
    <mergeCell ref="S14:W14"/>
  </mergeCells>
  <conditionalFormatting sqref="B2:B20">
    <cfRule type="cellIs" dxfId="3" priority="1" operator="lessThan">
      <formula>30000</formula>
    </cfRule>
    <cfRule type="cellIs" dxfId="2" priority="2" operator="greaterThan">
      <formula>50000</formula>
    </cfRule>
    <cfRule type="cellIs" dxfId="1" priority="3" operator="equal">
      <formula>50000</formula>
    </cfRule>
    <cfRule type="cellIs" dxfId="0" priority="4" operator="between">
      <formula>30000</formula>
      <formula>49999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ASDC44</dc:creator>
  <cp:lastModifiedBy>ASDC44</cp:lastModifiedBy>
  <dcterms:created xsi:type="dcterms:W3CDTF">2026-01-24T14:49:59Z</dcterms:created>
  <dcterms:modified xsi:type="dcterms:W3CDTF">2026-01-31T14:04:22Z</dcterms:modified>
</cp:coreProperties>
</file>